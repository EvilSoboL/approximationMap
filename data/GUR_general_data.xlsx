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ing\IT_SB_RAS\Experiments\Big_data_for_burners\Карты режимов\"/>
    </mc:Choice>
  </mc:AlternateContent>
  <xr:revisionPtr revIDLastSave="0" documentId="13_ncr:1_{E9B9E08C-2D51-4B4F-9C22-A3A049E6DE8A}" xr6:coauthVersionLast="47" xr6:coauthVersionMax="47" xr10:uidLastSave="{00000000-0000-0000-0000-000000000000}"/>
  <bookViews>
    <workbookView xWindow="-120" yWindow="-120" windowWidth="29040" windowHeight="15840" activeTab="8" xr2:uid="{842C6697-178E-462B-A0B2-903AF959175E}"/>
  </bookViews>
  <sheets>
    <sheet name="дт_воздух" sheetId="1" r:id="rId1"/>
    <sheet name="дт_пар" sheetId="2" r:id="rId2"/>
    <sheet name="нефть_пар" sheetId="3" r:id="rId3"/>
    <sheet name="мазут_пар" sheetId="4" r:id="rId4"/>
    <sheet name="Мазут_пар_2" sheetId="5" r:id="rId5"/>
    <sheet name="мазут_воздух" sheetId="6" r:id="rId6"/>
    <sheet name="Керосин_пар" sheetId="7" r:id="rId7"/>
    <sheet name="Каросин_воздух" sheetId="8" r:id="rId8"/>
    <sheet name="Масло_пар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2" l="1"/>
  <c r="O16" i="2"/>
  <c r="N15" i="2"/>
  <c r="N16" i="2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<sst xmlns="http://schemas.openxmlformats.org/spreadsheetml/2006/main" count="260" uniqueCount="171">
  <si>
    <t>Эксперимент</t>
  </si>
  <si>
    <t>181210_1</t>
  </si>
  <si>
    <t>181210_2</t>
  </si>
  <si>
    <t>181210_3</t>
  </si>
  <si>
    <t>181210_4</t>
  </si>
  <si>
    <t>181210_5</t>
  </si>
  <si>
    <t>181210_6</t>
  </si>
  <si>
    <t>181210_7</t>
  </si>
  <si>
    <t>181210_8</t>
  </si>
  <si>
    <t>181210_9</t>
  </si>
  <si>
    <t>181210_10</t>
  </si>
  <si>
    <t>181210_11</t>
  </si>
  <si>
    <t>181210_12</t>
  </si>
  <si>
    <t>181210_13</t>
  </si>
  <si>
    <t>181210_14</t>
  </si>
  <si>
    <t>181210_15</t>
  </si>
  <si>
    <t>181210_16</t>
  </si>
  <si>
    <t>181210_17</t>
  </si>
  <si>
    <t>181210_18</t>
  </si>
  <si>
    <t>181210_19</t>
  </si>
  <si>
    <t>181210_20</t>
  </si>
  <si>
    <t>181210_21</t>
  </si>
  <si>
    <t>181210_22</t>
  </si>
  <si>
    <t>181210_23</t>
  </si>
  <si>
    <t>181210_24</t>
  </si>
  <si>
    <t>181210_25</t>
  </si>
  <si>
    <t>181210_26</t>
  </si>
  <si>
    <t>181210_27</t>
  </si>
  <si>
    <t>181210_28</t>
  </si>
  <si>
    <t>181210_29</t>
  </si>
  <si>
    <t>181210_30</t>
  </si>
  <si>
    <t>181210_31</t>
  </si>
  <si>
    <t>181210_32</t>
  </si>
  <si>
    <t>181210_33</t>
  </si>
  <si>
    <t>181210_34</t>
  </si>
  <si>
    <t>181210_35</t>
  </si>
  <si>
    <t>181210_36</t>
  </si>
  <si>
    <t>181210_37</t>
  </si>
  <si>
    <t>181210_38</t>
  </si>
  <si>
    <t>срыв</t>
  </si>
  <si>
    <t>Q_топливо, г/ч</t>
  </si>
  <si>
    <t>Q_возд_рот, г/ч</t>
  </si>
  <si>
    <t>O2</t>
  </si>
  <si>
    <t>CO</t>
  </si>
  <si>
    <t>NO</t>
  </si>
  <si>
    <t>NO2</t>
  </si>
  <si>
    <t>NOX</t>
  </si>
  <si>
    <t>СО2</t>
  </si>
  <si>
    <t>SO2</t>
  </si>
  <si>
    <t>Twg, oC</t>
  </si>
  <si>
    <t>Q_пар, г/ч</t>
  </si>
  <si>
    <t>P_пар, атм</t>
  </si>
  <si>
    <t>CO (map)</t>
  </si>
  <si>
    <t>181123_1</t>
  </si>
  <si>
    <t>181123_2</t>
  </si>
  <si>
    <t>181123_3</t>
  </si>
  <si>
    <t>-</t>
  </si>
  <si>
    <t>181123_4</t>
  </si>
  <si>
    <t>181123_5</t>
  </si>
  <si>
    <t>181123_6</t>
  </si>
  <si>
    <t>181123_7</t>
  </si>
  <si>
    <t>181123_8</t>
  </si>
  <si>
    <t>181123_9</t>
  </si>
  <si>
    <t>181123_10</t>
  </si>
  <si>
    <t>181123_11</t>
  </si>
  <si>
    <t>181123_12</t>
  </si>
  <si>
    <t>181123_13</t>
  </si>
  <si>
    <t>181123_14</t>
  </si>
  <si>
    <t>181123_47</t>
  </si>
  <si>
    <t>181123_46</t>
  </si>
  <si>
    <t>181123_48</t>
  </si>
  <si>
    <t>181123_49</t>
  </si>
  <si>
    <t>181123_50</t>
  </si>
  <si>
    <t>181123_18</t>
  </si>
  <si>
    <t>181123_19</t>
  </si>
  <si>
    <t>181123_20</t>
  </si>
  <si>
    <t>181123_21</t>
  </si>
  <si>
    <t>181123_22</t>
  </si>
  <si>
    <t>181123_23</t>
  </si>
  <si>
    <t>181123_24</t>
  </si>
  <si>
    <t>181123_25</t>
  </si>
  <si>
    <t>181123_26</t>
  </si>
  <si>
    <t>181123_27</t>
  </si>
  <si>
    <t>181123_28</t>
  </si>
  <si>
    <t>181123_29</t>
  </si>
  <si>
    <t>181123_30</t>
  </si>
  <si>
    <t>181123_31</t>
  </si>
  <si>
    <t>181123_32</t>
  </si>
  <si>
    <t>181123_33</t>
  </si>
  <si>
    <t>181123_34</t>
  </si>
  <si>
    <t>181123_35</t>
  </si>
  <si>
    <t>181123_36</t>
  </si>
  <si>
    <t>181123_37</t>
  </si>
  <si>
    <t>181123_38</t>
  </si>
  <si>
    <t>181123_39</t>
  </si>
  <si>
    <t>181123_40</t>
  </si>
  <si>
    <t>181123_41</t>
  </si>
  <si>
    <t>181123_42</t>
  </si>
  <si>
    <t>181123_43</t>
  </si>
  <si>
    <t>181123_44</t>
  </si>
  <si>
    <t>181123_45</t>
  </si>
  <si>
    <t>180903_25</t>
  </si>
  <si>
    <t>180903_30</t>
  </si>
  <si>
    <t>180903_35</t>
  </si>
  <si>
    <t>180903_40</t>
  </si>
  <si>
    <t>180903_45</t>
  </si>
  <si>
    <t>180703_1</t>
  </si>
  <si>
    <t>180703_2</t>
  </si>
  <si>
    <t>180703_3</t>
  </si>
  <si>
    <t>180703_4</t>
  </si>
  <si>
    <t>180703_5</t>
  </si>
  <si>
    <t>180703_7</t>
  </si>
  <si>
    <t>180703_8</t>
  </si>
  <si>
    <t>180703_9</t>
  </si>
  <si>
    <t>180703_10</t>
  </si>
  <si>
    <t>180703_11</t>
  </si>
  <si>
    <t>180703_13</t>
  </si>
  <si>
    <t>180703_14</t>
  </si>
  <si>
    <t>180703_16</t>
  </si>
  <si>
    <t>180703_19</t>
  </si>
  <si>
    <t>O2, %</t>
  </si>
  <si>
    <t>CO, ppm</t>
  </si>
  <si>
    <t>NO, ppm</t>
  </si>
  <si>
    <t>NO2, ppm</t>
  </si>
  <si>
    <t>NOX, ppm</t>
  </si>
  <si>
    <t>СО2, %</t>
  </si>
  <si>
    <t>SO2, ppm</t>
  </si>
  <si>
    <t>T_wg, oC</t>
  </si>
  <si>
    <t>190530_1</t>
  </si>
  <si>
    <t>190530_2</t>
  </si>
  <si>
    <t>190530_3</t>
  </si>
  <si>
    <t>190530_4</t>
  </si>
  <si>
    <t>190530_5</t>
  </si>
  <si>
    <t>190530_6</t>
  </si>
  <si>
    <t>190530_7</t>
  </si>
  <si>
    <t>нестабильная подача</t>
  </si>
  <si>
    <t>190530_10</t>
  </si>
  <si>
    <t>190530_11</t>
  </si>
  <si>
    <t>190530_12</t>
  </si>
  <si>
    <t>190530_13</t>
  </si>
  <si>
    <t>190530_14</t>
  </si>
  <si>
    <t>190530_15</t>
  </si>
  <si>
    <t>190530_16</t>
  </si>
  <si>
    <t>190530_17</t>
  </si>
  <si>
    <t>190530_18</t>
  </si>
  <si>
    <t>190530_19</t>
  </si>
  <si>
    <t>190530_20</t>
  </si>
  <si>
    <t>190530_21</t>
  </si>
  <si>
    <t>190530_22</t>
  </si>
  <si>
    <t>190530_23</t>
  </si>
  <si>
    <t>190530_24</t>
  </si>
  <si>
    <t>190530_25</t>
  </si>
  <si>
    <t>190530_26</t>
  </si>
  <si>
    <t>190530_27</t>
  </si>
  <si>
    <t>190530_28</t>
  </si>
  <si>
    <t>190530_29</t>
  </si>
  <si>
    <t>190530_30</t>
  </si>
  <si>
    <t>NOx &gt; 300</t>
  </si>
  <si>
    <t>пульсации</t>
  </si>
  <si>
    <t>Fv, kg/h</t>
  </si>
  <si>
    <t>P_rel, atm</t>
  </si>
  <si>
    <t>Ff, kg/h</t>
  </si>
  <si>
    <t>% O2</t>
  </si>
  <si>
    <t>ппм СO</t>
  </si>
  <si>
    <t>ппм NO</t>
  </si>
  <si>
    <t>ппм NO2</t>
  </si>
  <si>
    <t>ппм NOx</t>
  </si>
  <si>
    <t>% CO2ИК</t>
  </si>
  <si>
    <t>ппм SO2</t>
  </si>
  <si>
    <t>°C Тдг</t>
  </si>
  <si>
    <t>Fair, 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</si>
</sst>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2" fillId="0" borderId="1" xfId="1" applyFont="1" applyFill="1" applyBorder="1" applyAlignment="1" applyProtection="1">
      <alignment wrapText="1"/>
    </xf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0" borderId="2" xfId="0" applyBorder="1"/>
    <xf numFmtId="2" fontId="0" fillId="0" borderId="0" xfId="2" applyNumberFormat="1" applyFont="1"/>
    <xf numFmtId="164" fontId="0" fillId="0" borderId="0" xfId="2" applyNumberFormat="1" applyFont="1"/>
    <xf numFmtId="1" fontId="0" fillId="0" borderId="0" xfId="2" applyNumberFormat="1" applyFont="1"/>
    <xf numFmtId="2" fontId="0" fillId="3" borderId="1" xfId="0" applyNumberFormat="1" applyFill="1" applyBorder="1"/>
    <xf numFmtId="164" fontId="0" fillId="3" borderId="0" xfId="2" applyNumberFormat="1" applyFont="1" applyFill="1"/>
    <xf numFmtId="2" fontId="0" fillId="3" borderId="0" xfId="2" applyNumberFormat="1" applyFont="1" applyFill="1"/>
    <xf numFmtId="1" fontId="0" fillId="3" borderId="0" xfId="2" applyNumberFormat="1" applyFont="1" applyFill="1"/>
    <xf numFmtId="0" fontId="0" fillId="3" borderId="1" xfId="0" applyFill="1" applyBorder="1"/>
  </cellXfs>
  <cellStyles count="3">
    <cellStyle name="Normal" xfId="2" xr:uid="{D194D74F-CFA3-4958-ACF9-00335FB6A2A7}"/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E60B-3812-469F-8846-530B8717CD78}">
  <dimension ref="A1:K46"/>
  <sheetViews>
    <sheetView workbookViewId="0">
      <selection activeCell="N14" sqref="N14"/>
    </sheetView>
  </sheetViews>
  <sheetFormatPr defaultRowHeight="15" x14ac:dyDescent="0.25"/>
  <sheetData>
    <row r="1" spans="1:11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1</v>
      </c>
      <c r="B2">
        <v>800</v>
      </c>
      <c r="C2">
        <v>264.98903083921851</v>
      </c>
      <c r="E2">
        <v>500</v>
      </c>
    </row>
    <row r="3" spans="1:11" x14ac:dyDescent="0.25">
      <c r="A3" t="s">
        <v>2</v>
      </c>
      <c r="B3">
        <v>800</v>
      </c>
      <c r="C3">
        <v>398.89354840374892</v>
      </c>
      <c r="D3">
        <v>4.34</v>
      </c>
      <c r="E3">
        <v>31.9</v>
      </c>
      <c r="F3">
        <v>81.7</v>
      </c>
      <c r="G3">
        <v>2.4</v>
      </c>
      <c r="H3">
        <v>84.100000000000009</v>
      </c>
      <c r="I3">
        <v>12.65</v>
      </c>
      <c r="J3">
        <v>118</v>
      </c>
      <c r="K3">
        <v>26.3</v>
      </c>
    </row>
    <row r="4" spans="1:11" x14ac:dyDescent="0.25">
      <c r="A4" t="s">
        <v>3</v>
      </c>
      <c r="B4">
        <v>900</v>
      </c>
      <c r="C4">
        <v>398.89354840374892</v>
      </c>
      <c r="D4">
        <v>1.93</v>
      </c>
      <c r="E4">
        <v>20.6</v>
      </c>
      <c r="F4">
        <v>94.3</v>
      </c>
      <c r="G4">
        <v>1.4</v>
      </c>
      <c r="H4">
        <v>95.7</v>
      </c>
      <c r="I4">
        <v>14.48</v>
      </c>
      <c r="J4">
        <v>141</v>
      </c>
      <c r="K4">
        <v>26.7</v>
      </c>
    </row>
    <row r="5" spans="1:11" x14ac:dyDescent="0.25">
      <c r="A5" t="s">
        <v>4</v>
      </c>
      <c r="B5">
        <v>1000</v>
      </c>
      <c r="C5">
        <v>398.89354840374892</v>
      </c>
      <c r="E5">
        <v>500</v>
      </c>
      <c r="H5">
        <v>0</v>
      </c>
    </row>
    <row r="6" spans="1:11" x14ac:dyDescent="0.25">
      <c r="A6" t="s">
        <v>5</v>
      </c>
      <c r="B6">
        <v>800</v>
      </c>
      <c r="C6">
        <v>532.20745697739733</v>
      </c>
      <c r="D6">
        <v>6.25</v>
      </c>
      <c r="E6">
        <v>48.6</v>
      </c>
      <c r="F6">
        <v>59.9</v>
      </c>
      <c r="G6">
        <v>4.8</v>
      </c>
      <c r="H6">
        <v>64.7</v>
      </c>
      <c r="I6">
        <v>11.31</v>
      </c>
      <c r="J6">
        <v>105</v>
      </c>
      <c r="K6">
        <v>26.8</v>
      </c>
    </row>
    <row r="7" spans="1:11" x14ac:dyDescent="0.25">
      <c r="A7" t="s">
        <v>6</v>
      </c>
      <c r="B7">
        <v>900</v>
      </c>
      <c r="C7">
        <v>532.20745697739733</v>
      </c>
      <c r="D7">
        <v>4.1100000000000003</v>
      </c>
      <c r="E7">
        <v>31.4</v>
      </c>
      <c r="F7">
        <v>78</v>
      </c>
      <c r="G7">
        <v>3.2</v>
      </c>
      <c r="H7">
        <v>81.2</v>
      </c>
      <c r="I7">
        <v>12.95</v>
      </c>
      <c r="J7">
        <v>122</v>
      </c>
      <c r="K7">
        <v>27.1</v>
      </c>
    </row>
    <row r="8" spans="1:11" x14ac:dyDescent="0.25">
      <c r="A8" t="s">
        <v>7</v>
      </c>
      <c r="B8">
        <v>1000</v>
      </c>
      <c r="C8">
        <v>532.20745697739733</v>
      </c>
      <c r="D8">
        <v>2.04</v>
      </c>
      <c r="E8">
        <v>18.3</v>
      </c>
      <c r="F8">
        <v>89.6</v>
      </c>
      <c r="G8">
        <v>1.8</v>
      </c>
      <c r="H8">
        <v>91.399999999999991</v>
      </c>
      <c r="I8">
        <v>14.46</v>
      </c>
      <c r="J8">
        <v>146</v>
      </c>
      <c r="K8">
        <v>27.6</v>
      </c>
    </row>
    <row r="9" spans="1:11" x14ac:dyDescent="0.25">
      <c r="A9" t="s">
        <v>8</v>
      </c>
      <c r="B9">
        <v>1100</v>
      </c>
      <c r="C9">
        <v>532.20745697739733</v>
      </c>
      <c r="E9">
        <v>500</v>
      </c>
      <c r="H9">
        <v>0</v>
      </c>
    </row>
    <row r="10" spans="1:11" x14ac:dyDescent="0.25">
      <c r="A10" t="s">
        <v>9</v>
      </c>
      <c r="B10">
        <v>800</v>
      </c>
      <c r="C10">
        <v>659.08222587678836</v>
      </c>
      <c r="D10">
        <v>8.01</v>
      </c>
      <c r="E10">
        <v>62.5</v>
      </c>
      <c r="F10">
        <v>40.700000000000003</v>
      </c>
      <c r="G10">
        <v>6.6</v>
      </c>
      <c r="H10">
        <v>47.300000000000004</v>
      </c>
      <c r="I10">
        <v>9.91</v>
      </c>
      <c r="J10">
        <v>92</v>
      </c>
      <c r="K10">
        <v>26.8</v>
      </c>
    </row>
    <row r="11" spans="1:11" x14ac:dyDescent="0.25">
      <c r="A11" t="s">
        <v>10</v>
      </c>
      <c r="B11">
        <v>1000</v>
      </c>
      <c r="C11">
        <v>659.08222587678836</v>
      </c>
      <c r="D11">
        <v>4.3</v>
      </c>
      <c r="E11">
        <v>27.8</v>
      </c>
      <c r="F11">
        <v>75.7</v>
      </c>
      <c r="G11">
        <v>3.8</v>
      </c>
      <c r="H11">
        <v>79.5</v>
      </c>
      <c r="I11">
        <v>12.89</v>
      </c>
      <c r="J11">
        <v>123</v>
      </c>
      <c r="K11">
        <v>27.6</v>
      </c>
    </row>
    <row r="12" spans="1:11" x14ac:dyDescent="0.25">
      <c r="A12" t="s">
        <v>11</v>
      </c>
      <c r="B12">
        <v>1100</v>
      </c>
      <c r="C12">
        <v>659.08222587678836</v>
      </c>
      <c r="D12">
        <v>2.44</v>
      </c>
      <c r="E12">
        <v>14.2</v>
      </c>
      <c r="F12">
        <v>86.6</v>
      </c>
      <c r="G12">
        <v>2.1</v>
      </c>
      <c r="H12">
        <v>88.699999999999989</v>
      </c>
      <c r="I12">
        <v>14.3</v>
      </c>
      <c r="J12">
        <v>145</v>
      </c>
      <c r="K12">
        <v>28.2</v>
      </c>
    </row>
    <row r="13" spans="1:11" x14ac:dyDescent="0.25">
      <c r="A13" t="s">
        <v>12</v>
      </c>
      <c r="B13">
        <v>1200</v>
      </c>
      <c r="C13">
        <v>659.08222587678836</v>
      </c>
      <c r="E13">
        <v>500</v>
      </c>
      <c r="H13">
        <v>0</v>
      </c>
    </row>
    <row r="14" spans="1:11" x14ac:dyDescent="0.25">
      <c r="A14" t="s">
        <v>13</v>
      </c>
      <c r="B14">
        <v>800</v>
      </c>
      <c r="C14">
        <v>792.20905682233263</v>
      </c>
      <c r="D14">
        <v>9.2100000000000009</v>
      </c>
      <c r="E14">
        <v>67.599999999999994</v>
      </c>
      <c r="F14">
        <v>27.2</v>
      </c>
      <c r="G14">
        <v>5.6</v>
      </c>
      <c r="H14">
        <v>32.799999999999997</v>
      </c>
      <c r="I14">
        <v>9.24</v>
      </c>
      <c r="J14">
        <v>86</v>
      </c>
      <c r="K14">
        <v>26.6</v>
      </c>
    </row>
    <row r="15" spans="1:11" x14ac:dyDescent="0.25">
      <c r="A15" t="s">
        <v>14</v>
      </c>
      <c r="B15">
        <v>1000</v>
      </c>
      <c r="C15">
        <v>792.20905682233263</v>
      </c>
      <c r="D15">
        <v>5.62</v>
      </c>
      <c r="E15">
        <v>19.899999999999999</v>
      </c>
      <c r="F15">
        <v>62.7</v>
      </c>
      <c r="G15">
        <v>3.5</v>
      </c>
      <c r="H15">
        <v>66.2</v>
      </c>
      <c r="I15">
        <v>11.94</v>
      </c>
      <c r="J15">
        <v>114</v>
      </c>
      <c r="K15">
        <v>27.6</v>
      </c>
    </row>
    <row r="16" spans="1:11" x14ac:dyDescent="0.25">
      <c r="A16" t="s">
        <v>15</v>
      </c>
      <c r="B16">
        <v>1100</v>
      </c>
      <c r="C16">
        <v>792.20905682233263</v>
      </c>
      <c r="D16">
        <v>4.1900000000000004</v>
      </c>
      <c r="E16">
        <v>12.7</v>
      </c>
      <c r="F16">
        <v>73</v>
      </c>
      <c r="G16">
        <v>2.5</v>
      </c>
      <c r="H16">
        <v>75.5</v>
      </c>
      <c r="I16">
        <v>12.99</v>
      </c>
      <c r="J16">
        <v>127</v>
      </c>
      <c r="K16">
        <v>28</v>
      </c>
    </row>
    <row r="17" spans="1:11" x14ac:dyDescent="0.25">
      <c r="A17" t="s">
        <v>16</v>
      </c>
      <c r="B17">
        <v>1200</v>
      </c>
      <c r="C17">
        <v>792.20905682233263</v>
      </c>
      <c r="D17">
        <v>2.4500000000000002</v>
      </c>
      <c r="E17">
        <v>7.5</v>
      </c>
      <c r="F17">
        <v>85.2</v>
      </c>
      <c r="G17">
        <v>1.8</v>
      </c>
      <c r="H17">
        <v>87</v>
      </c>
      <c r="I17">
        <v>14.31</v>
      </c>
      <c r="J17">
        <v>144</v>
      </c>
      <c r="K17">
        <v>28.4</v>
      </c>
    </row>
    <row r="18" spans="1:11" x14ac:dyDescent="0.25">
      <c r="A18" t="s">
        <v>17</v>
      </c>
      <c r="B18">
        <v>1300</v>
      </c>
      <c r="C18">
        <v>792.20905682233263</v>
      </c>
      <c r="E18">
        <v>500</v>
      </c>
      <c r="H18">
        <v>0</v>
      </c>
    </row>
    <row r="19" spans="1:11" x14ac:dyDescent="0.25">
      <c r="A19" t="s">
        <v>18</v>
      </c>
      <c r="B19">
        <v>900</v>
      </c>
      <c r="C19">
        <v>912.55033189632184</v>
      </c>
      <c r="D19">
        <v>8.4</v>
      </c>
      <c r="E19">
        <v>29.4</v>
      </c>
      <c r="F19">
        <v>35.299999999999997</v>
      </c>
      <c r="G19">
        <v>4</v>
      </c>
      <c r="H19">
        <v>39.299999999999997</v>
      </c>
      <c r="I19">
        <v>9.91</v>
      </c>
      <c r="J19">
        <v>95</v>
      </c>
      <c r="K19">
        <v>27.2</v>
      </c>
    </row>
    <row r="20" spans="1:11" x14ac:dyDescent="0.25">
      <c r="A20" t="s">
        <v>19</v>
      </c>
      <c r="B20">
        <v>1000</v>
      </c>
      <c r="C20">
        <v>912.55033189632184</v>
      </c>
      <c r="D20">
        <v>6.62</v>
      </c>
      <c r="E20">
        <v>16.2</v>
      </c>
      <c r="F20">
        <v>49.7</v>
      </c>
      <c r="G20">
        <v>3</v>
      </c>
      <c r="H20">
        <v>52.7</v>
      </c>
      <c r="I20">
        <v>11.17</v>
      </c>
      <c r="J20">
        <v>107</v>
      </c>
      <c r="K20">
        <v>27.7</v>
      </c>
    </row>
    <row r="21" spans="1:11" x14ac:dyDescent="0.25">
      <c r="A21" t="s">
        <v>20</v>
      </c>
      <c r="B21">
        <v>1200</v>
      </c>
      <c r="C21">
        <v>912.55033189632184</v>
      </c>
      <c r="D21">
        <v>3.91</v>
      </c>
      <c r="E21">
        <v>7.7</v>
      </c>
      <c r="F21">
        <v>68.400000000000006</v>
      </c>
      <c r="G21">
        <v>1.8</v>
      </c>
      <c r="H21">
        <v>70.2</v>
      </c>
      <c r="I21">
        <v>13.3</v>
      </c>
      <c r="J21">
        <v>131</v>
      </c>
      <c r="K21">
        <v>28.4</v>
      </c>
    </row>
    <row r="22" spans="1:11" x14ac:dyDescent="0.25">
      <c r="A22" t="s">
        <v>21</v>
      </c>
      <c r="B22">
        <v>1300</v>
      </c>
      <c r="C22">
        <v>912.55033189632184</v>
      </c>
      <c r="D22">
        <v>2.35</v>
      </c>
      <c r="E22">
        <v>5.4</v>
      </c>
      <c r="F22">
        <v>78.7</v>
      </c>
      <c r="G22">
        <v>1.4</v>
      </c>
      <c r="H22">
        <v>80.100000000000009</v>
      </c>
      <c r="I22">
        <v>14.48</v>
      </c>
      <c r="J22">
        <v>149</v>
      </c>
      <c r="K22">
        <v>28.8</v>
      </c>
    </row>
    <row r="23" spans="1:11" x14ac:dyDescent="0.25">
      <c r="A23" t="s">
        <v>22</v>
      </c>
      <c r="B23">
        <v>1400</v>
      </c>
      <c r="C23">
        <v>912.55033189632184</v>
      </c>
      <c r="E23">
        <v>500</v>
      </c>
      <c r="H23">
        <v>0</v>
      </c>
    </row>
    <row r="24" spans="1:11" x14ac:dyDescent="0.25">
      <c r="A24" t="s">
        <v>23</v>
      </c>
      <c r="B24">
        <v>900</v>
      </c>
      <c r="C24">
        <v>1036.3773131171936</v>
      </c>
      <c r="D24">
        <v>9.27</v>
      </c>
      <c r="E24">
        <v>120.1</v>
      </c>
      <c r="F24">
        <v>24.3</v>
      </c>
      <c r="G24">
        <v>5.4</v>
      </c>
      <c r="H24">
        <v>29.700000000000003</v>
      </c>
      <c r="I24">
        <v>9.19</v>
      </c>
      <c r="J24">
        <v>87</v>
      </c>
      <c r="K24">
        <v>27.1</v>
      </c>
    </row>
    <row r="25" spans="1:11" x14ac:dyDescent="0.25">
      <c r="A25" t="s">
        <v>24</v>
      </c>
      <c r="B25">
        <v>1000</v>
      </c>
      <c r="C25">
        <v>1036.3773131171936</v>
      </c>
      <c r="D25">
        <v>7.52</v>
      </c>
      <c r="E25">
        <v>15.9</v>
      </c>
      <c r="F25">
        <v>40.6</v>
      </c>
      <c r="G25">
        <v>2.8</v>
      </c>
      <c r="H25">
        <v>43.4</v>
      </c>
      <c r="I25">
        <v>10.48</v>
      </c>
      <c r="J25">
        <v>101</v>
      </c>
      <c r="K25">
        <v>27.5</v>
      </c>
    </row>
    <row r="26" spans="1:11" x14ac:dyDescent="0.25">
      <c r="A26" t="s">
        <v>25</v>
      </c>
      <c r="B26">
        <v>1200</v>
      </c>
      <c r="C26">
        <v>1036.3773131171936</v>
      </c>
      <c r="D26">
        <v>4.78</v>
      </c>
      <c r="E26">
        <v>8.6</v>
      </c>
      <c r="F26">
        <v>59</v>
      </c>
      <c r="G26">
        <v>2</v>
      </c>
      <c r="H26">
        <v>61</v>
      </c>
      <c r="I26">
        <v>12.66</v>
      </c>
      <c r="J26">
        <v>123</v>
      </c>
      <c r="K26">
        <v>28.4</v>
      </c>
    </row>
    <row r="27" spans="1:11" x14ac:dyDescent="0.25">
      <c r="A27" t="s">
        <v>26</v>
      </c>
      <c r="B27">
        <v>1300</v>
      </c>
      <c r="C27">
        <v>1036.3773131171936</v>
      </c>
      <c r="D27">
        <v>3.17</v>
      </c>
      <c r="E27">
        <v>5.5</v>
      </c>
      <c r="F27">
        <v>66.5</v>
      </c>
      <c r="G27">
        <v>1.5</v>
      </c>
      <c r="H27">
        <v>68</v>
      </c>
      <c r="I27">
        <v>13.92</v>
      </c>
      <c r="J27">
        <v>139</v>
      </c>
      <c r="K27">
        <v>28.8</v>
      </c>
    </row>
    <row r="28" spans="1:11" x14ac:dyDescent="0.25">
      <c r="A28" t="s">
        <v>27</v>
      </c>
      <c r="B28">
        <v>1400</v>
      </c>
      <c r="C28">
        <v>1036.3773131171936</v>
      </c>
      <c r="D28">
        <v>1.7</v>
      </c>
      <c r="E28">
        <v>5.6</v>
      </c>
      <c r="F28">
        <v>74.900000000000006</v>
      </c>
      <c r="G28">
        <v>1.3</v>
      </c>
      <c r="H28">
        <v>76.2</v>
      </c>
      <c r="I28">
        <v>14.93</v>
      </c>
      <c r="J28">
        <v>157</v>
      </c>
      <c r="K28">
        <v>29.4</v>
      </c>
    </row>
    <row r="29" spans="1:11" x14ac:dyDescent="0.25">
      <c r="A29" t="s">
        <v>28</v>
      </c>
      <c r="B29">
        <v>1500</v>
      </c>
      <c r="C29">
        <v>1036.3773131171936</v>
      </c>
      <c r="E29">
        <v>500</v>
      </c>
      <c r="H29">
        <v>0</v>
      </c>
    </row>
    <row r="30" spans="1:11" x14ac:dyDescent="0.25">
      <c r="A30" t="s">
        <v>29</v>
      </c>
      <c r="B30">
        <v>700</v>
      </c>
      <c r="C30">
        <v>264.98903083921851</v>
      </c>
      <c r="D30">
        <v>3.8</v>
      </c>
      <c r="E30">
        <v>9.3000000000000007</v>
      </c>
      <c r="F30">
        <v>91.4</v>
      </c>
      <c r="G30">
        <v>2</v>
      </c>
      <c r="H30">
        <v>93.4</v>
      </c>
      <c r="I30">
        <v>13.46</v>
      </c>
      <c r="J30">
        <v>122</v>
      </c>
      <c r="K30">
        <v>22.9</v>
      </c>
    </row>
    <row r="31" spans="1:11" x14ac:dyDescent="0.25">
      <c r="A31" t="s">
        <v>30</v>
      </c>
      <c r="B31">
        <v>600</v>
      </c>
      <c r="C31">
        <v>264.98903083921851</v>
      </c>
      <c r="D31">
        <v>6.24</v>
      </c>
      <c r="E31">
        <v>14.6</v>
      </c>
      <c r="F31">
        <v>78.3</v>
      </c>
      <c r="G31">
        <v>2.7</v>
      </c>
      <c r="H31">
        <v>81</v>
      </c>
      <c r="I31">
        <v>11.53</v>
      </c>
      <c r="J31">
        <v>105</v>
      </c>
      <c r="K31">
        <v>23</v>
      </c>
    </row>
    <row r="32" spans="1:11" x14ac:dyDescent="0.25">
      <c r="A32" t="s">
        <v>31</v>
      </c>
      <c r="B32">
        <v>500</v>
      </c>
      <c r="C32">
        <v>264.98903083921851</v>
      </c>
      <c r="D32">
        <v>9.09</v>
      </c>
      <c r="E32">
        <v>66</v>
      </c>
      <c r="F32">
        <v>51.5</v>
      </c>
      <c r="G32">
        <v>6.6</v>
      </c>
      <c r="H32">
        <v>58.1</v>
      </c>
      <c r="I32">
        <v>9.4</v>
      </c>
      <c r="J32">
        <v>83</v>
      </c>
      <c r="K32">
        <v>22.6</v>
      </c>
    </row>
    <row r="33" spans="1:11" x14ac:dyDescent="0.25">
      <c r="A33" t="s">
        <v>32</v>
      </c>
      <c r="B33">
        <v>400</v>
      </c>
      <c r="C33">
        <v>264.98903083921851</v>
      </c>
      <c r="E33">
        <v>500</v>
      </c>
      <c r="H33">
        <v>0</v>
      </c>
    </row>
    <row r="34" spans="1:11" x14ac:dyDescent="0.25">
      <c r="A34" t="s">
        <v>33</v>
      </c>
      <c r="B34">
        <v>700</v>
      </c>
      <c r="C34">
        <v>398.89354840374892</v>
      </c>
      <c r="D34">
        <v>6.13</v>
      </c>
      <c r="E34">
        <v>13.1</v>
      </c>
      <c r="F34">
        <v>72.599999999999994</v>
      </c>
      <c r="G34">
        <v>3.2</v>
      </c>
      <c r="H34">
        <v>75.8</v>
      </c>
      <c r="I34">
        <v>11.65</v>
      </c>
      <c r="J34">
        <v>109</v>
      </c>
      <c r="K34">
        <v>25.1</v>
      </c>
    </row>
    <row r="35" spans="1:11" x14ac:dyDescent="0.25">
      <c r="A35" t="s">
        <v>34</v>
      </c>
      <c r="B35">
        <v>600</v>
      </c>
      <c r="C35">
        <v>398.89354840374892</v>
      </c>
      <c r="D35">
        <v>8.69</v>
      </c>
      <c r="E35">
        <v>30.3</v>
      </c>
      <c r="F35">
        <v>52.1</v>
      </c>
      <c r="G35">
        <v>4.8</v>
      </c>
      <c r="H35">
        <v>56.9</v>
      </c>
      <c r="I35">
        <v>9.6999999999999993</v>
      </c>
      <c r="J35">
        <v>90</v>
      </c>
      <c r="K35">
        <v>24.6</v>
      </c>
    </row>
    <row r="36" spans="1:11" x14ac:dyDescent="0.25">
      <c r="A36" t="s">
        <v>35</v>
      </c>
      <c r="B36">
        <v>500</v>
      </c>
      <c r="C36">
        <v>398.89354840374892</v>
      </c>
      <c r="D36">
        <v>11.26</v>
      </c>
      <c r="E36">
        <v>300.3</v>
      </c>
      <c r="F36">
        <v>17.2</v>
      </c>
      <c r="G36">
        <v>12.2</v>
      </c>
      <c r="H36">
        <v>29.4</v>
      </c>
      <c r="I36">
        <v>7.75</v>
      </c>
      <c r="J36">
        <v>66</v>
      </c>
      <c r="K36">
        <v>23.8</v>
      </c>
    </row>
    <row r="37" spans="1:11" x14ac:dyDescent="0.25">
      <c r="A37" t="s">
        <v>36</v>
      </c>
      <c r="B37">
        <v>700</v>
      </c>
      <c r="C37">
        <v>532.20745697739733</v>
      </c>
      <c r="D37">
        <v>8.11</v>
      </c>
      <c r="E37">
        <v>27</v>
      </c>
      <c r="F37">
        <v>52.6</v>
      </c>
      <c r="G37">
        <v>5.2</v>
      </c>
      <c r="H37">
        <v>57.800000000000004</v>
      </c>
      <c r="I37">
        <v>10.17</v>
      </c>
      <c r="J37">
        <v>94</v>
      </c>
      <c r="K37">
        <v>25.5</v>
      </c>
    </row>
    <row r="38" spans="1:11" x14ac:dyDescent="0.25">
      <c r="A38" t="s">
        <v>37</v>
      </c>
      <c r="B38">
        <v>600</v>
      </c>
      <c r="C38">
        <v>532.20745697739733</v>
      </c>
      <c r="D38">
        <v>10.41</v>
      </c>
      <c r="E38">
        <v>122.4</v>
      </c>
      <c r="F38">
        <v>24</v>
      </c>
      <c r="G38">
        <v>8.5</v>
      </c>
      <c r="H38">
        <v>32.5</v>
      </c>
      <c r="I38">
        <v>8.43</v>
      </c>
      <c r="J38">
        <v>76</v>
      </c>
      <c r="K38">
        <v>25</v>
      </c>
    </row>
    <row r="39" spans="1:11" x14ac:dyDescent="0.25">
      <c r="A39" t="s">
        <v>38</v>
      </c>
      <c r="B39">
        <v>700</v>
      </c>
      <c r="C39">
        <v>659.08222587678836</v>
      </c>
      <c r="D39">
        <v>9.75</v>
      </c>
      <c r="E39">
        <v>64.2</v>
      </c>
      <c r="F39">
        <v>28</v>
      </c>
      <c r="G39">
        <v>7.1</v>
      </c>
      <c r="H39">
        <v>35.1</v>
      </c>
      <c r="I39">
        <v>8.91</v>
      </c>
      <c r="J39">
        <v>83</v>
      </c>
      <c r="K39">
        <v>25.5</v>
      </c>
    </row>
    <row r="40" spans="1:11" x14ac:dyDescent="0.25">
      <c r="A40" t="s">
        <v>39</v>
      </c>
      <c r="B40">
        <v>400</v>
      </c>
      <c r="C40">
        <v>341.56637814732414</v>
      </c>
      <c r="E40">
        <v>500</v>
      </c>
    </row>
    <row r="41" spans="1:11" x14ac:dyDescent="0.25">
      <c r="A41" t="s">
        <v>39</v>
      </c>
      <c r="B41">
        <v>420</v>
      </c>
      <c r="C41">
        <v>398.89354840374892</v>
      </c>
      <c r="E41">
        <v>500</v>
      </c>
    </row>
    <row r="42" spans="1:11" x14ac:dyDescent="0.25">
      <c r="A42" t="s">
        <v>39</v>
      </c>
      <c r="B42">
        <v>540</v>
      </c>
      <c r="C42">
        <v>532.20745697739733</v>
      </c>
      <c r="E42">
        <v>500</v>
      </c>
    </row>
    <row r="43" spans="1:11" x14ac:dyDescent="0.25">
      <c r="A43" t="s">
        <v>39</v>
      </c>
      <c r="B43">
        <v>600</v>
      </c>
      <c r="C43">
        <v>659.08222587678836</v>
      </c>
      <c r="E43">
        <v>500</v>
      </c>
    </row>
    <row r="44" spans="1:11" x14ac:dyDescent="0.25">
      <c r="A44" t="s">
        <v>39</v>
      </c>
      <c r="B44">
        <v>700</v>
      </c>
      <c r="C44">
        <v>792.20905682233263</v>
      </c>
      <c r="E44">
        <v>500</v>
      </c>
    </row>
    <row r="45" spans="1:11" x14ac:dyDescent="0.25">
      <c r="A45" t="s">
        <v>39</v>
      </c>
      <c r="B45">
        <v>780</v>
      </c>
      <c r="C45">
        <v>912.55033189632184</v>
      </c>
      <c r="E45">
        <v>500</v>
      </c>
    </row>
    <row r="46" spans="1:11" x14ac:dyDescent="0.25">
      <c r="A46" t="s">
        <v>39</v>
      </c>
      <c r="B46">
        <v>840</v>
      </c>
      <c r="C46">
        <v>1036.3773131171936</v>
      </c>
      <c r="E46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A268-CC0B-45B7-A13A-1FD13A5F7617}">
  <dimension ref="A1:O68"/>
  <sheetViews>
    <sheetView workbookViewId="0">
      <selection activeCell="Q16" sqref="Q16"/>
    </sheetView>
  </sheetViews>
  <sheetFormatPr defaultRowHeight="15" x14ac:dyDescent="0.25"/>
  <sheetData>
    <row r="1" spans="1:15" x14ac:dyDescent="0.25">
      <c r="A1" t="s">
        <v>0</v>
      </c>
      <c r="B1" t="s">
        <v>40</v>
      </c>
      <c r="C1" t="s">
        <v>50</v>
      </c>
      <c r="D1" t="s">
        <v>51</v>
      </c>
      <c r="E1" t="s">
        <v>42</v>
      </c>
      <c r="F1" t="s">
        <v>52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5" x14ac:dyDescent="0.25">
      <c r="A2" t="s">
        <v>53</v>
      </c>
      <c r="B2">
        <v>500</v>
      </c>
      <c r="C2">
        <v>200</v>
      </c>
      <c r="F2">
        <v>500</v>
      </c>
      <c r="J2">
        <v>0</v>
      </c>
    </row>
    <row r="3" spans="1:15" x14ac:dyDescent="0.25">
      <c r="A3" t="s">
        <v>54</v>
      </c>
      <c r="B3">
        <v>600</v>
      </c>
      <c r="C3">
        <v>200</v>
      </c>
      <c r="D3">
        <v>1.6</v>
      </c>
      <c r="E3">
        <v>7.79</v>
      </c>
      <c r="F3">
        <v>11.1</v>
      </c>
      <c r="G3">
        <v>41.7</v>
      </c>
      <c r="H3">
        <v>36.5</v>
      </c>
      <c r="I3">
        <v>6.3</v>
      </c>
      <c r="J3">
        <v>42.8</v>
      </c>
      <c r="K3">
        <v>10.53</v>
      </c>
      <c r="L3">
        <v>94</v>
      </c>
      <c r="M3">
        <v>23.7</v>
      </c>
    </row>
    <row r="4" spans="1:15" x14ac:dyDescent="0.25">
      <c r="A4" t="s">
        <v>55</v>
      </c>
      <c r="B4">
        <v>700</v>
      </c>
      <c r="C4">
        <v>200</v>
      </c>
      <c r="D4">
        <v>1.6</v>
      </c>
      <c r="E4">
        <v>5.51</v>
      </c>
      <c r="F4" t="s">
        <v>56</v>
      </c>
      <c r="G4">
        <v>14.9</v>
      </c>
      <c r="H4">
        <v>55.7</v>
      </c>
      <c r="I4">
        <v>3.4</v>
      </c>
      <c r="J4">
        <v>59.1</v>
      </c>
      <c r="K4">
        <v>12.28</v>
      </c>
      <c r="L4">
        <v>111</v>
      </c>
      <c r="M4">
        <v>24.2</v>
      </c>
    </row>
    <row r="5" spans="1:15" x14ac:dyDescent="0.25">
      <c r="A5" t="s">
        <v>57</v>
      </c>
      <c r="B5">
        <v>800</v>
      </c>
      <c r="C5">
        <v>200</v>
      </c>
      <c r="D5">
        <v>1.45</v>
      </c>
      <c r="E5">
        <v>2.11</v>
      </c>
      <c r="F5">
        <v>7.5</v>
      </c>
      <c r="G5">
        <v>9.6</v>
      </c>
      <c r="H5">
        <v>85.6</v>
      </c>
      <c r="I5">
        <v>1.6</v>
      </c>
      <c r="J5">
        <v>87.199999999999989</v>
      </c>
      <c r="K5">
        <v>14.87</v>
      </c>
      <c r="L5">
        <v>140</v>
      </c>
      <c r="M5">
        <v>25.1</v>
      </c>
    </row>
    <row r="6" spans="1:15" x14ac:dyDescent="0.25">
      <c r="A6" t="s">
        <v>58</v>
      </c>
      <c r="B6">
        <v>900</v>
      </c>
      <c r="C6">
        <v>200</v>
      </c>
      <c r="D6">
        <v>1.52</v>
      </c>
      <c r="E6">
        <v>0.82</v>
      </c>
      <c r="F6" t="s">
        <v>56</v>
      </c>
      <c r="G6">
        <v>43.2</v>
      </c>
      <c r="H6">
        <v>89.2</v>
      </c>
      <c r="I6">
        <v>1.3</v>
      </c>
      <c r="J6">
        <v>90.5</v>
      </c>
      <c r="K6">
        <v>15.82</v>
      </c>
      <c r="L6">
        <v>157</v>
      </c>
      <c r="M6">
        <v>25.3</v>
      </c>
    </row>
    <row r="7" spans="1:15" x14ac:dyDescent="0.25">
      <c r="A7" t="s">
        <v>59</v>
      </c>
      <c r="B7">
        <v>950</v>
      </c>
      <c r="C7">
        <v>200</v>
      </c>
      <c r="F7">
        <v>500</v>
      </c>
      <c r="J7">
        <v>0</v>
      </c>
    </row>
    <row r="8" spans="1:15" x14ac:dyDescent="0.25">
      <c r="A8" t="s">
        <v>60</v>
      </c>
      <c r="B8">
        <v>650</v>
      </c>
      <c r="C8">
        <v>400</v>
      </c>
      <c r="F8">
        <v>500</v>
      </c>
      <c r="J8">
        <v>0</v>
      </c>
    </row>
    <row r="9" spans="1:15" x14ac:dyDescent="0.25">
      <c r="A9" t="s">
        <v>61</v>
      </c>
      <c r="B9">
        <v>700</v>
      </c>
      <c r="C9">
        <v>400</v>
      </c>
      <c r="D9">
        <v>2.9</v>
      </c>
      <c r="E9">
        <v>8.0299999999999994</v>
      </c>
      <c r="F9">
        <v>30.3</v>
      </c>
      <c r="G9">
        <v>33.799999999999997</v>
      </c>
      <c r="H9">
        <v>31.6</v>
      </c>
      <c r="I9">
        <v>4.9000000000000004</v>
      </c>
      <c r="J9">
        <v>36.5</v>
      </c>
      <c r="K9">
        <v>10.33</v>
      </c>
      <c r="L9">
        <v>95</v>
      </c>
      <c r="M9">
        <v>24.8</v>
      </c>
    </row>
    <row r="10" spans="1:15" x14ac:dyDescent="0.25">
      <c r="A10" t="s">
        <v>62</v>
      </c>
      <c r="B10">
        <v>800</v>
      </c>
      <c r="C10">
        <v>400</v>
      </c>
      <c r="D10">
        <v>2.9</v>
      </c>
      <c r="E10">
        <v>5.66</v>
      </c>
      <c r="F10">
        <v>38.4</v>
      </c>
      <c r="G10">
        <v>60.2</v>
      </c>
      <c r="H10">
        <v>40.9</v>
      </c>
      <c r="I10">
        <v>6.3</v>
      </c>
      <c r="J10">
        <v>47.199999999999996</v>
      </c>
      <c r="K10">
        <v>12.11</v>
      </c>
      <c r="L10">
        <v>110</v>
      </c>
      <c r="M10">
        <v>26.2</v>
      </c>
    </row>
    <row r="11" spans="1:15" x14ac:dyDescent="0.25">
      <c r="A11" t="s">
        <v>63</v>
      </c>
      <c r="B11">
        <v>1000</v>
      </c>
      <c r="C11">
        <v>400</v>
      </c>
      <c r="D11">
        <v>2.9</v>
      </c>
      <c r="E11">
        <v>1.9</v>
      </c>
      <c r="F11">
        <v>15.7</v>
      </c>
      <c r="G11">
        <v>20.8</v>
      </c>
      <c r="H11">
        <v>66.8</v>
      </c>
      <c r="I11">
        <v>0.7</v>
      </c>
      <c r="J11">
        <v>67.5</v>
      </c>
      <c r="K11">
        <v>14.98</v>
      </c>
      <c r="L11">
        <v>143</v>
      </c>
      <c r="M11">
        <v>28.7</v>
      </c>
    </row>
    <row r="12" spans="1:15" x14ac:dyDescent="0.25">
      <c r="A12" t="s">
        <v>64</v>
      </c>
      <c r="B12">
        <v>1100</v>
      </c>
      <c r="C12">
        <v>400</v>
      </c>
      <c r="D12">
        <v>2.9</v>
      </c>
      <c r="E12">
        <v>0.44</v>
      </c>
      <c r="F12" t="s">
        <v>56</v>
      </c>
      <c r="G12">
        <v>230.1</v>
      </c>
      <c r="H12">
        <v>70.8</v>
      </c>
      <c r="I12">
        <v>0.4</v>
      </c>
      <c r="J12">
        <v>71.2</v>
      </c>
      <c r="K12">
        <v>16.07</v>
      </c>
      <c r="L12">
        <v>163</v>
      </c>
      <c r="M12">
        <v>27.8</v>
      </c>
    </row>
    <row r="13" spans="1:15" x14ac:dyDescent="0.25">
      <c r="A13" t="s">
        <v>65</v>
      </c>
      <c r="B13">
        <v>1200</v>
      </c>
      <c r="C13">
        <v>400</v>
      </c>
      <c r="F13">
        <v>500</v>
      </c>
      <c r="J13">
        <v>0</v>
      </c>
    </row>
    <row r="14" spans="1:15" x14ac:dyDescent="0.25">
      <c r="A14" t="s">
        <v>66</v>
      </c>
      <c r="B14">
        <v>750</v>
      </c>
      <c r="C14">
        <v>600</v>
      </c>
      <c r="F14">
        <v>500</v>
      </c>
      <c r="J14">
        <v>0</v>
      </c>
    </row>
    <row r="15" spans="1:15" x14ac:dyDescent="0.25">
      <c r="A15" t="s">
        <v>67</v>
      </c>
      <c r="B15">
        <v>800</v>
      </c>
      <c r="C15">
        <v>600</v>
      </c>
      <c r="D15">
        <v>4.4000000000000004</v>
      </c>
      <c r="E15">
        <v>9.0299999999999994</v>
      </c>
      <c r="F15">
        <v>250</v>
      </c>
      <c r="G15">
        <v>138.1</v>
      </c>
      <c r="H15">
        <v>14.8</v>
      </c>
      <c r="I15">
        <v>6.6</v>
      </c>
      <c r="J15">
        <v>21.4</v>
      </c>
      <c r="K15">
        <v>9.35</v>
      </c>
      <c r="L15">
        <v>84</v>
      </c>
      <c r="M15">
        <v>26.8</v>
      </c>
      <c r="N15">
        <f>G15*1.25*21/(21-E15)</f>
        <v>302.85087719298247</v>
      </c>
      <c r="O15">
        <f>J15*2.056*21/(21-E15)</f>
        <v>77.190175438596484</v>
      </c>
    </row>
    <row r="16" spans="1:15" x14ac:dyDescent="0.25">
      <c r="A16" t="s">
        <v>68</v>
      </c>
      <c r="B16">
        <v>900</v>
      </c>
      <c r="C16">
        <v>600</v>
      </c>
      <c r="D16">
        <v>4.5</v>
      </c>
      <c r="E16">
        <v>6.91</v>
      </c>
      <c r="G16">
        <v>40.1</v>
      </c>
      <c r="H16">
        <v>32</v>
      </c>
      <c r="I16">
        <v>5.6</v>
      </c>
      <c r="J16">
        <v>37.6</v>
      </c>
      <c r="K16">
        <v>11.17</v>
      </c>
      <c r="L16">
        <v>108</v>
      </c>
      <c r="M16">
        <v>26.5</v>
      </c>
      <c r="N16">
        <f>G16*1.25*21/(21-E16)</f>
        <v>74.707239176721075</v>
      </c>
      <c r="O16">
        <f>J16*2.056*21/(21-E16)</f>
        <v>115.2177146912704</v>
      </c>
    </row>
    <row r="17" spans="1:13" x14ac:dyDescent="0.25">
      <c r="A17" t="s">
        <v>69</v>
      </c>
      <c r="B17">
        <v>1000</v>
      </c>
      <c r="C17">
        <v>600</v>
      </c>
      <c r="D17">
        <v>4.5</v>
      </c>
      <c r="E17">
        <v>4.4800000000000004</v>
      </c>
      <c r="F17">
        <v>2.8</v>
      </c>
      <c r="G17">
        <v>22.2</v>
      </c>
      <c r="H17">
        <v>47.9</v>
      </c>
      <c r="I17">
        <v>3.9</v>
      </c>
      <c r="J17">
        <v>51.8</v>
      </c>
      <c r="K17">
        <v>13</v>
      </c>
      <c r="L17">
        <v>125</v>
      </c>
      <c r="M17">
        <v>27</v>
      </c>
    </row>
    <row r="18" spans="1:13" x14ac:dyDescent="0.25">
      <c r="A18" t="s">
        <v>70</v>
      </c>
      <c r="B18">
        <v>1100</v>
      </c>
      <c r="C18">
        <v>600</v>
      </c>
      <c r="D18">
        <v>4.5</v>
      </c>
      <c r="E18">
        <v>3.3</v>
      </c>
      <c r="G18">
        <v>13.3</v>
      </c>
      <c r="H18">
        <v>55.9</v>
      </c>
      <c r="I18">
        <v>2.2999999999999998</v>
      </c>
      <c r="J18">
        <v>58.199999999999996</v>
      </c>
      <c r="K18">
        <v>13.99</v>
      </c>
      <c r="L18">
        <v>141</v>
      </c>
      <c r="M18">
        <v>27.7</v>
      </c>
    </row>
    <row r="19" spans="1:13" x14ac:dyDescent="0.25">
      <c r="A19" t="s">
        <v>71</v>
      </c>
      <c r="B19">
        <v>1200</v>
      </c>
      <c r="C19">
        <v>600</v>
      </c>
      <c r="D19">
        <v>4.5</v>
      </c>
      <c r="E19">
        <v>1.02</v>
      </c>
      <c r="F19">
        <v>0</v>
      </c>
      <c r="G19">
        <v>10.7</v>
      </c>
      <c r="H19">
        <v>67.2</v>
      </c>
      <c r="I19">
        <v>1.4</v>
      </c>
      <c r="J19">
        <v>68.600000000000009</v>
      </c>
      <c r="K19">
        <v>15.69</v>
      </c>
      <c r="L19">
        <v>160</v>
      </c>
      <c r="M19">
        <v>28</v>
      </c>
    </row>
    <row r="20" spans="1:13" x14ac:dyDescent="0.25">
      <c r="A20" t="s">
        <v>72</v>
      </c>
      <c r="B20">
        <v>1250</v>
      </c>
      <c r="C20">
        <v>600</v>
      </c>
      <c r="D20">
        <v>4.5</v>
      </c>
      <c r="E20">
        <v>0.65</v>
      </c>
      <c r="F20" t="s">
        <v>56</v>
      </c>
      <c r="G20">
        <v>46.8</v>
      </c>
      <c r="H20">
        <v>67.599999999999994</v>
      </c>
      <c r="I20">
        <v>1.6</v>
      </c>
      <c r="J20">
        <v>69.199999999999989</v>
      </c>
      <c r="K20">
        <v>16.03</v>
      </c>
      <c r="L20">
        <v>167</v>
      </c>
      <c r="M20">
        <v>28</v>
      </c>
    </row>
    <row r="21" spans="1:13" x14ac:dyDescent="0.25">
      <c r="A21" t="s">
        <v>73</v>
      </c>
      <c r="B21">
        <v>1350</v>
      </c>
      <c r="C21">
        <v>600</v>
      </c>
      <c r="F21">
        <v>500</v>
      </c>
      <c r="J21">
        <v>0</v>
      </c>
    </row>
    <row r="22" spans="1:13" x14ac:dyDescent="0.25">
      <c r="A22" t="s">
        <v>74</v>
      </c>
      <c r="B22">
        <v>1100</v>
      </c>
      <c r="C22">
        <v>800</v>
      </c>
      <c r="D22">
        <v>6.5</v>
      </c>
      <c r="E22">
        <v>5.41</v>
      </c>
      <c r="F22">
        <v>500</v>
      </c>
      <c r="G22">
        <v>11.8</v>
      </c>
      <c r="H22">
        <v>38.5</v>
      </c>
      <c r="I22">
        <v>2</v>
      </c>
      <c r="J22">
        <v>40.5</v>
      </c>
      <c r="K22">
        <v>12.17</v>
      </c>
      <c r="L22">
        <v>118</v>
      </c>
      <c r="M22">
        <v>28.1</v>
      </c>
    </row>
    <row r="23" spans="1:13" x14ac:dyDescent="0.25">
      <c r="A23" t="s">
        <v>75</v>
      </c>
      <c r="B23">
        <v>1000</v>
      </c>
      <c r="C23">
        <v>800</v>
      </c>
      <c r="D23">
        <v>6.4</v>
      </c>
      <c r="E23">
        <v>6.94</v>
      </c>
      <c r="F23">
        <v>250</v>
      </c>
      <c r="G23">
        <v>20.9</v>
      </c>
      <c r="H23">
        <v>28.1</v>
      </c>
      <c r="I23">
        <v>2.9</v>
      </c>
      <c r="J23">
        <v>31</v>
      </c>
      <c r="K23">
        <v>11</v>
      </c>
      <c r="L23">
        <v>105</v>
      </c>
      <c r="M23">
        <v>27.6</v>
      </c>
    </row>
    <row r="24" spans="1:13" x14ac:dyDescent="0.25">
      <c r="A24" t="s">
        <v>76</v>
      </c>
      <c r="B24">
        <v>1200</v>
      </c>
      <c r="C24">
        <v>800</v>
      </c>
      <c r="D24">
        <v>6.4</v>
      </c>
      <c r="E24">
        <v>3.6</v>
      </c>
      <c r="F24">
        <v>2.7</v>
      </c>
      <c r="G24">
        <v>10.7</v>
      </c>
      <c r="H24">
        <v>50.1</v>
      </c>
      <c r="I24">
        <v>2</v>
      </c>
      <c r="J24">
        <v>52.1</v>
      </c>
      <c r="K24">
        <v>13.57</v>
      </c>
      <c r="L24">
        <v>133</v>
      </c>
      <c r="M24">
        <v>28.7</v>
      </c>
    </row>
    <row r="25" spans="1:13" x14ac:dyDescent="0.25">
      <c r="A25" t="s">
        <v>77</v>
      </c>
      <c r="B25">
        <v>1400</v>
      </c>
      <c r="C25">
        <v>800</v>
      </c>
      <c r="D25">
        <v>6.4</v>
      </c>
      <c r="E25">
        <v>0.48</v>
      </c>
      <c r="F25">
        <v>15.2</v>
      </c>
      <c r="G25">
        <v>167.8</v>
      </c>
      <c r="H25">
        <v>62.9</v>
      </c>
      <c r="I25">
        <v>1.1000000000000001</v>
      </c>
      <c r="J25">
        <v>64</v>
      </c>
      <c r="K25">
        <v>16.079999999999998</v>
      </c>
      <c r="L25">
        <v>171</v>
      </c>
      <c r="M25">
        <v>29.4</v>
      </c>
    </row>
    <row r="26" spans="1:13" x14ac:dyDescent="0.25">
      <c r="A26" t="s">
        <v>78</v>
      </c>
      <c r="B26">
        <v>1300</v>
      </c>
      <c r="C26">
        <v>800</v>
      </c>
      <c r="D26">
        <v>6.4</v>
      </c>
      <c r="E26">
        <v>2.27</v>
      </c>
      <c r="F26" t="s">
        <v>56</v>
      </c>
      <c r="G26">
        <v>6.8</v>
      </c>
      <c r="H26">
        <v>56.2</v>
      </c>
      <c r="I26">
        <v>1.3</v>
      </c>
      <c r="J26">
        <v>57.5</v>
      </c>
      <c r="K26">
        <v>14.63</v>
      </c>
      <c r="L26">
        <v>147</v>
      </c>
      <c r="M26">
        <v>29</v>
      </c>
    </row>
    <row r="27" spans="1:13" x14ac:dyDescent="0.25">
      <c r="A27" t="s">
        <v>79</v>
      </c>
      <c r="B27">
        <v>1600</v>
      </c>
      <c r="C27">
        <v>800</v>
      </c>
      <c r="F27">
        <v>500</v>
      </c>
      <c r="J27">
        <v>0</v>
      </c>
    </row>
    <row r="28" spans="1:13" x14ac:dyDescent="0.25">
      <c r="A28" t="s">
        <v>80</v>
      </c>
      <c r="B28">
        <v>1150</v>
      </c>
      <c r="C28">
        <v>1000</v>
      </c>
      <c r="F28">
        <v>500</v>
      </c>
      <c r="J28">
        <v>0</v>
      </c>
    </row>
    <row r="29" spans="1:13" x14ac:dyDescent="0.25">
      <c r="A29" t="s">
        <v>81</v>
      </c>
      <c r="B29">
        <v>1200</v>
      </c>
      <c r="C29">
        <v>1000</v>
      </c>
      <c r="D29">
        <v>8.4</v>
      </c>
      <c r="E29">
        <v>5.45</v>
      </c>
      <c r="F29">
        <v>250</v>
      </c>
      <c r="G29">
        <v>8.8000000000000007</v>
      </c>
      <c r="H29">
        <v>33.200000000000003</v>
      </c>
      <c r="I29">
        <v>1.9</v>
      </c>
      <c r="J29">
        <v>35.1</v>
      </c>
      <c r="K29">
        <v>12.16</v>
      </c>
      <c r="L29">
        <v>119</v>
      </c>
      <c r="M29">
        <v>28.4</v>
      </c>
    </row>
    <row r="30" spans="1:13" x14ac:dyDescent="0.25">
      <c r="A30" t="s">
        <v>82</v>
      </c>
      <c r="B30">
        <v>1300</v>
      </c>
      <c r="C30">
        <v>1000</v>
      </c>
      <c r="D30">
        <v>8.4</v>
      </c>
      <c r="E30">
        <v>3.75</v>
      </c>
      <c r="F30" t="s">
        <v>56</v>
      </c>
      <c r="G30">
        <v>6.6</v>
      </c>
      <c r="H30">
        <v>43.1</v>
      </c>
      <c r="I30">
        <v>1.7</v>
      </c>
      <c r="J30">
        <v>44.800000000000004</v>
      </c>
      <c r="K30">
        <v>13.58</v>
      </c>
      <c r="L30">
        <v>133</v>
      </c>
      <c r="M30">
        <v>28.8</v>
      </c>
    </row>
    <row r="31" spans="1:13" x14ac:dyDescent="0.25">
      <c r="A31" t="s">
        <v>83</v>
      </c>
      <c r="B31">
        <v>1400</v>
      </c>
      <c r="C31">
        <v>1000</v>
      </c>
      <c r="D31">
        <v>8.4</v>
      </c>
      <c r="E31">
        <v>1.99</v>
      </c>
      <c r="F31">
        <v>49</v>
      </c>
      <c r="G31">
        <v>4.8</v>
      </c>
      <c r="H31">
        <v>53</v>
      </c>
      <c r="I31">
        <v>1.6</v>
      </c>
      <c r="J31">
        <v>54.6</v>
      </c>
      <c r="K31">
        <v>14.99</v>
      </c>
      <c r="L31">
        <v>153</v>
      </c>
      <c r="M31">
        <v>29.1</v>
      </c>
    </row>
    <row r="32" spans="1:13" x14ac:dyDescent="0.25">
      <c r="A32" t="s">
        <v>84</v>
      </c>
      <c r="B32">
        <v>1500</v>
      </c>
      <c r="C32">
        <v>1000</v>
      </c>
      <c r="D32">
        <v>8.4</v>
      </c>
      <c r="E32">
        <v>0.81</v>
      </c>
      <c r="F32" t="s">
        <v>56</v>
      </c>
      <c r="G32">
        <v>22.1</v>
      </c>
      <c r="H32">
        <v>54.4</v>
      </c>
      <c r="I32">
        <v>1.5</v>
      </c>
      <c r="J32">
        <v>55.9</v>
      </c>
      <c r="K32">
        <v>15.8</v>
      </c>
      <c r="L32">
        <v>168</v>
      </c>
      <c r="M32">
        <v>29.7</v>
      </c>
    </row>
    <row r="33" spans="1:13" x14ac:dyDescent="0.25">
      <c r="A33" t="s">
        <v>85</v>
      </c>
      <c r="B33">
        <v>1600</v>
      </c>
      <c r="C33">
        <v>1000</v>
      </c>
      <c r="F33">
        <v>500</v>
      </c>
      <c r="J33">
        <v>0</v>
      </c>
    </row>
    <row r="34" spans="1:13" x14ac:dyDescent="0.25">
      <c r="A34" t="s">
        <v>86</v>
      </c>
      <c r="B34">
        <v>1500</v>
      </c>
      <c r="C34">
        <v>1100</v>
      </c>
      <c r="D34">
        <v>9.4</v>
      </c>
      <c r="E34">
        <v>1.88</v>
      </c>
      <c r="F34">
        <v>25</v>
      </c>
      <c r="G34">
        <v>4.4000000000000004</v>
      </c>
      <c r="H34">
        <v>47.4</v>
      </c>
      <c r="I34">
        <v>1.1000000000000001</v>
      </c>
      <c r="J34">
        <v>48.5</v>
      </c>
      <c r="K34">
        <v>14.99</v>
      </c>
      <c r="L34">
        <v>156</v>
      </c>
      <c r="M34">
        <v>29.7</v>
      </c>
    </row>
    <row r="35" spans="1:13" x14ac:dyDescent="0.25">
      <c r="A35" t="s">
        <v>87</v>
      </c>
      <c r="B35">
        <v>1200</v>
      </c>
      <c r="C35">
        <v>1200</v>
      </c>
      <c r="F35">
        <v>500</v>
      </c>
      <c r="J35">
        <v>0</v>
      </c>
    </row>
    <row r="36" spans="1:13" x14ac:dyDescent="0.25">
      <c r="A36" t="s">
        <v>88</v>
      </c>
      <c r="B36">
        <v>1400</v>
      </c>
      <c r="C36">
        <v>1200</v>
      </c>
      <c r="D36">
        <v>10.199999999999999</v>
      </c>
      <c r="E36">
        <v>3.83</v>
      </c>
      <c r="F36">
        <v>250</v>
      </c>
      <c r="G36">
        <v>5.3</v>
      </c>
      <c r="H36">
        <v>37.200000000000003</v>
      </c>
      <c r="I36">
        <v>1.6</v>
      </c>
      <c r="J36">
        <v>38.800000000000004</v>
      </c>
      <c r="K36">
        <v>13.53</v>
      </c>
      <c r="L36">
        <v>135</v>
      </c>
      <c r="M36">
        <v>28.9</v>
      </c>
    </row>
    <row r="37" spans="1:13" x14ac:dyDescent="0.25">
      <c r="A37" t="s">
        <v>89</v>
      </c>
      <c r="B37">
        <v>1500</v>
      </c>
      <c r="C37">
        <v>1200</v>
      </c>
      <c r="D37">
        <v>10.199999999999999</v>
      </c>
      <c r="E37">
        <v>2.2599999999999998</v>
      </c>
      <c r="F37" t="s">
        <v>56</v>
      </c>
      <c r="G37">
        <v>4.7</v>
      </c>
      <c r="H37">
        <v>43.6</v>
      </c>
      <c r="I37">
        <v>1.5</v>
      </c>
      <c r="J37">
        <v>45.1</v>
      </c>
      <c r="K37">
        <v>14.71</v>
      </c>
      <c r="L37">
        <v>149</v>
      </c>
      <c r="M37">
        <v>29.5</v>
      </c>
    </row>
    <row r="38" spans="1:13" x14ac:dyDescent="0.25">
      <c r="A38" t="s">
        <v>90</v>
      </c>
      <c r="B38">
        <v>1600</v>
      </c>
      <c r="C38">
        <v>1200</v>
      </c>
      <c r="D38">
        <v>10.199999999999999</v>
      </c>
      <c r="E38">
        <v>0.9</v>
      </c>
      <c r="F38">
        <v>17.399999999999999</v>
      </c>
      <c r="G38">
        <v>24.4</v>
      </c>
      <c r="H38">
        <v>48.6</v>
      </c>
      <c r="I38">
        <v>1.6</v>
      </c>
      <c r="J38">
        <v>50.2</v>
      </c>
      <c r="K38">
        <v>15.9</v>
      </c>
      <c r="L38">
        <v>170</v>
      </c>
      <c r="M38">
        <v>29.9</v>
      </c>
    </row>
    <row r="39" spans="1:13" x14ac:dyDescent="0.25">
      <c r="A39" t="s">
        <v>91</v>
      </c>
      <c r="B39">
        <v>1650</v>
      </c>
      <c r="C39">
        <v>1200</v>
      </c>
      <c r="F39" t="s">
        <v>56</v>
      </c>
      <c r="J39">
        <v>0</v>
      </c>
    </row>
    <row r="40" spans="1:13" x14ac:dyDescent="0.25">
      <c r="A40" t="s">
        <v>92</v>
      </c>
      <c r="B40">
        <v>1700</v>
      </c>
      <c r="C40">
        <v>1200</v>
      </c>
      <c r="F40">
        <v>500</v>
      </c>
      <c r="J40">
        <v>0</v>
      </c>
    </row>
    <row r="41" spans="1:13" x14ac:dyDescent="0.25">
      <c r="A41" t="s">
        <v>93</v>
      </c>
      <c r="B41">
        <v>1800</v>
      </c>
      <c r="C41">
        <v>1200</v>
      </c>
      <c r="F41">
        <v>500</v>
      </c>
      <c r="J41">
        <v>0</v>
      </c>
    </row>
    <row r="42" spans="1:13" x14ac:dyDescent="0.25">
      <c r="A42" t="s">
        <v>94</v>
      </c>
      <c r="B42">
        <v>1650</v>
      </c>
      <c r="C42">
        <v>1300</v>
      </c>
      <c r="D42">
        <v>11.1</v>
      </c>
      <c r="E42">
        <v>1.0900000000000001</v>
      </c>
      <c r="F42">
        <v>25</v>
      </c>
      <c r="G42">
        <v>16</v>
      </c>
      <c r="H42">
        <v>44.2</v>
      </c>
      <c r="I42">
        <v>1.5</v>
      </c>
      <c r="J42">
        <v>45.7</v>
      </c>
      <c r="K42">
        <v>15.69</v>
      </c>
      <c r="L42">
        <v>165</v>
      </c>
      <c r="M42">
        <v>30.1</v>
      </c>
    </row>
    <row r="43" spans="1:13" x14ac:dyDescent="0.25">
      <c r="A43" t="s">
        <v>95</v>
      </c>
      <c r="B43">
        <v>1550</v>
      </c>
      <c r="C43">
        <v>1400</v>
      </c>
      <c r="F43">
        <v>500</v>
      </c>
      <c r="J43">
        <v>0</v>
      </c>
    </row>
    <row r="44" spans="1:13" x14ac:dyDescent="0.25">
      <c r="A44" t="s">
        <v>96</v>
      </c>
      <c r="B44">
        <v>1600</v>
      </c>
      <c r="C44">
        <v>1400</v>
      </c>
      <c r="D44">
        <v>11.9</v>
      </c>
      <c r="E44">
        <v>2.7</v>
      </c>
      <c r="F44">
        <v>250</v>
      </c>
      <c r="G44">
        <v>5</v>
      </c>
      <c r="H44">
        <v>36.299999999999997</v>
      </c>
      <c r="I44">
        <v>1.4</v>
      </c>
      <c r="J44">
        <v>37.699999999999996</v>
      </c>
      <c r="K44">
        <v>14.43</v>
      </c>
      <c r="L44">
        <v>149</v>
      </c>
      <c r="M44">
        <v>29.8</v>
      </c>
    </row>
    <row r="45" spans="1:13" x14ac:dyDescent="0.25">
      <c r="A45" t="s">
        <v>97</v>
      </c>
      <c r="B45">
        <v>1650</v>
      </c>
      <c r="C45">
        <v>1400</v>
      </c>
      <c r="D45">
        <v>11.7</v>
      </c>
      <c r="E45">
        <v>1.8</v>
      </c>
      <c r="F45" t="s">
        <v>56</v>
      </c>
      <c r="G45">
        <v>6.1</v>
      </c>
      <c r="H45">
        <v>40.299999999999997</v>
      </c>
      <c r="I45">
        <v>1.2</v>
      </c>
      <c r="J45">
        <v>41.5</v>
      </c>
      <c r="K45">
        <v>15.14</v>
      </c>
      <c r="L45">
        <v>158</v>
      </c>
      <c r="M45">
        <v>30.2</v>
      </c>
    </row>
    <row r="46" spans="1:13" x14ac:dyDescent="0.25">
      <c r="A46" t="s">
        <v>98</v>
      </c>
      <c r="B46">
        <v>1700</v>
      </c>
      <c r="C46">
        <v>1400</v>
      </c>
      <c r="D46">
        <v>11.7</v>
      </c>
      <c r="E46">
        <v>0.97</v>
      </c>
      <c r="F46">
        <v>25</v>
      </c>
      <c r="G46">
        <v>41.4</v>
      </c>
      <c r="H46">
        <v>42.4</v>
      </c>
      <c r="I46">
        <v>1.4</v>
      </c>
      <c r="J46">
        <v>43.8</v>
      </c>
      <c r="K46">
        <v>15.76</v>
      </c>
      <c r="L46">
        <v>167</v>
      </c>
      <c r="M46">
        <v>30.5</v>
      </c>
    </row>
    <row r="47" spans="1:13" x14ac:dyDescent="0.25">
      <c r="A47" t="s">
        <v>99</v>
      </c>
      <c r="B47">
        <v>1750</v>
      </c>
      <c r="C47">
        <v>1400</v>
      </c>
      <c r="F47" t="s">
        <v>56</v>
      </c>
      <c r="J47">
        <v>0</v>
      </c>
    </row>
    <row r="48" spans="1:13" x14ac:dyDescent="0.25">
      <c r="A48" t="s">
        <v>100</v>
      </c>
      <c r="B48">
        <v>1800</v>
      </c>
      <c r="C48">
        <v>1400</v>
      </c>
      <c r="F48">
        <v>500</v>
      </c>
      <c r="J48">
        <v>0</v>
      </c>
    </row>
    <row r="49" spans="1:13" x14ac:dyDescent="0.25">
      <c r="A49" t="s">
        <v>69</v>
      </c>
      <c r="J49">
        <v>0</v>
      </c>
    </row>
    <row r="50" spans="1:13" x14ac:dyDescent="0.25">
      <c r="A50" t="s">
        <v>101</v>
      </c>
      <c r="B50">
        <v>965.33499999996184</v>
      </c>
      <c r="C50">
        <v>597.33500000000618</v>
      </c>
      <c r="D50">
        <v>568.22955392583299</v>
      </c>
      <c r="E50">
        <v>5.2366445182724277</v>
      </c>
      <c r="G50">
        <v>25.280284191829484</v>
      </c>
      <c r="H50">
        <v>43.136877076411963</v>
      </c>
      <c r="I50">
        <v>1.4219269102990018</v>
      </c>
      <c r="K50">
        <v>12.280996677740863</v>
      </c>
      <c r="L50">
        <v>110.29568106312293</v>
      </c>
      <c r="M50">
        <v>27.571760797342211</v>
      </c>
    </row>
    <row r="51" spans="1:13" x14ac:dyDescent="0.25">
      <c r="A51" t="s">
        <v>102</v>
      </c>
      <c r="B51">
        <v>1180.4533333333854</v>
      </c>
      <c r="C51">
        <v>804.83666666672593</v>
      </c>
      <c r="D51">
        <v>767.71634258083395</v>
      </c>
      <c r="E51">
        <v>4.5133887043189311</v>
      </c>
      <c r="G51">
        <v>10.829307282415616</v>
      </c>
      <c r="H51">
        <v>39.480398671096331</v>
      </c>
      <c r="I51">
        <v>0.4737541528239223</v>
      </c>
      <c r="K51">
        <v>12.994385382059807</v>
      </c>
      <c r="L51">
        <v>125.50166112956811</v>
      </c>
      <c r="M51">
        <v>29.185382059800588</v>
      </c>
    </row>
    <row r="52" spans="1:13" x14ac:dyDescent="0.25">
      <c r="A52" t="s">
        <v>103</v>
      </c>
      <c r="B52">
        <v>1376.7700000000266</v>
      </c>
      <c r="C52">
        <v>1190.0750000000305</v>
      </c>
      <c r="D52">
        <v>1110.2508188358322</v>
      </c>
      <c r="E52">
        <v>4.6534551495016547</v>
      </c>
      <c r="G52">
        <v>7.9882770870337421</v>
      </c>
      <c r="H52">
        <v>30.257475083056455</v>
      </c>
      <c r="I52">
        <v>2.5312292358803989</v>
      </c>
      <c r="K52">
        <v>12.959568106312302</v>
      </c>
      <c r="L52">
        <v>125.19269102990033</v>
      </c>
      <c r="M52">
        <v>30.143189368770742</v>
      </c>
    </row>
    <row r="53" spans="1:13" x14ac:dyDescent="0.25">
      <c r="A53" t="s">
        <v>104</v>
      </c>
      <c r="B53">
        <v>1377.9260905807573</v>
      </c>
      <c r="C53">
        <v>789.96443456519273</v>
      </c>
      <c r="D53">
        <v>755.09258164666687</v>
      </c>
      <c r="E53">
        <v>1.1527680798004991</v>
      </c>
      <c r="G53">
        <v>21.481674565560816</v>
      </c>
      <c r="H53">
        <v>46.004488778054863</v>
      </c>
      <c r="I53">
        <v>0.62817955112219348</v>
      </c>
      <c r="K53">
        <v>15.81763092269329</v>
      </c>
      <c r="L53">
        <v>161.15461346633415</v>
      </c>
      <c r="M53">
        <v>31.40673316708201</v>
      </c>
    </row>
    <row r="54" spans="1:13" x14ac:dyDescent="0.25">
      <c r="A54" t="s">
        <v>105</v>
      </c>
      <c r="B54">
        <v>1398.4434565157092</v>
      </c>
      <c r="C54">
        <v>999.0441789385294</v>
      </c>
      <c r="D54">
        <v>939.14354705666676</v>
      </c>
      <c r="E54">
        <v>1.9170074812967619</v>
      </c>
      <c r="G54">
        <v>14.890196078431371</v>
      </c>
      <c r="H54">
        <v>36.936658354114662</v>
      </c>
      <c r="I54">
        <v>1.8057356608478843</v>
      </c>
      <c r="K54">
        <v>15.210922693266797</v>
      </c>
      <c r="L54">
        <v>153.77556109725685</v>
      </c>
      <c r="M54">
        <v>32.595760598503986</v>
      </c>
    </row>
    <row r="55" spans="1:13" x14ac:dyDescent="0.25">
      <c r="A55" t="s">
        <v>106</v>
      </c>
      <c r="B55">
        <v>672.83666666663407</v>
      </c>
      <c r="C55">
        <v>477.85999999998296</v>
      </c>
      <c r="D55">
        <v>479.14903154583322</v>
      </c>
      <c r="E55">
        <v>9.5405980066445242</v>
      </c>
      <c r="G55">
        <v>132.14955595026655</v>
      </c>
      <c r="H55">
        <v>13.30564784053157</v>
      </c>
      <c r="I55">
        <v>10.08471760797342</v>
      </c>
      <c r="K55">
        <v>8.9796013289036516</v>
      </c>
      <c r="L55">
        <v>77.637873754152821</v>
      </c>
      <c r="M55">
        <v>26.089368770764199</v>
      </c>
    </row>
    <row r="56" spans="1:13" x14ac:dyDescent="0.25">
      <c r="A56" t="s">
        <v>107</v>
      </c>
      <c r="B56">
        <v>842.82911919982052</v>
      </c>
      <c r="C56">
        <v>587.53820505697206</v>
      </c>
      <c r="D56">
        <v>582.08887920999882</v>
      </c>
      <c r="E56">
        <v>7.7299335548172836</v>
      </c>
      <c r="G56">
        <v>55.609769094138436</v>
      </c>
      <c r="H56">
        <v>25.431561461794011</v>
      </c>
      <c r="I56">
        <v>4.4043189368770639</v>
      </c>
      <c r="K56">
        <v>10.114285714285709</v>
      </c>
      <c r="L56">
        <v>99.544850498338874</v>
      </c>
      <c r="M56">
        <v>27.817940199335606</v>
      </c>
    </row>
    <row r="57" spans="1:13" x14ac:dyDescent="0.25">
      <c r="A57" t="s">
        <v>108</v>
      </c>
      <c r="B57">
        <v>1140.3284245624488</v>
      </c>
      <c r="C57">
        <v>798.16171158661223</v>
      </c>
      <c r="D57">
        <v>782.46212924749989</v>
      </c>
      <c r="E57">
        <v>4.9450830564784169</v>
      </c>
      <c r="G57">
        <v>19.534458259325074</v>
      </c>
      <c r="H57">
        <v>37.426578073089715</v>
      </c>
      <c r="I57">
        <v>3.1697674418604644</v>
      </c>
      <c r="K57">
        <v>12.462558139534856</v>
      </c>
      <c r="L57">
        <v>117.00664451827242</v>
      </c>
      <c r="M57">
        <v>30.011960132890483</v>
      </c>
    </row>
    <row r="58" spans="1:13" x14ac:dyDescent="0.25">
      <c r="A58" t="s">
        <v>109</v>
      </c>
      <c r="B58">
        <v>1413.9911086412928</v>
      </c>
      <c r="C58">
        <v>1000.771325368092</v>
      </c>
      <c r="D58">
        <v>993.56384110166812</v>
      </c>
      <c r="E58">
        <v>2.3989700996677739</v>
      </c>
      <c r="G58">
        <v>5.7840142095914784</v>
      </c>
      <c r="H58">
        <v>38.722591362126281</v>
      </c>
      <c r="I58">
        <v>0.37308970099667832</v>
      </c>
      <c r="K58">
        <v>14.365382059800666</v>
      </c>
      <c r="L58">
        <v>140.88039867109634</v>
      </c>
      <c r="M58">
        <v>30.063455149501674</v>
      </c>
    </row>
    <row r="59" spans="1:13" x14ac:dyDescent="0.25">
      <c r="A59" t="s">
        <v>110</v>
      </c>
      <c r="B59">
        <v>1556.7207557654335</v>
      </c>
      <c r="C59">
        <v>1127.6882467352564</v>
      </c>
      <c r="D59">
        <v>967.11425121249988</v>
      </c>
      <c r="E59" t="e">
        <v>#DIV/0!</v>
      </c>
      <c r="G59" t="e">
        <v>#DIV/0!</v>
      </c>
      <c r="H59" t="e">
        <v>#DIV/0!</v>
      </c>
      <c r="I59" t="e">
        <v>#DIV/0!</v>
      </c>
      <c r="K59" t="e">
        <v>#DIV/0!</v>
      </c>
      <c r="L59" t="e">
        <v>#DIV/0!</v>
      </c>
      <c r="M59">
        <v>30.063455149501674</v>
      </c>
    </row>
    <row r="60" spans="1:13" x14ac:dyDescent="0.25">
      <c r="A60" t="s">
        <v>111</v>
      </c>
      <c r="B60">
        <v>972.36676854677444</v>
      </c>
      <c r="C60">
        <v>585.73937204780441</v>
      </c>
      <c r="D60">
        <v>584.37458809500026</v>
      </c>
      <c r="E60">
        <v>5.3828571428571532</v>
      </c>
      <c r="G60">
        <v>32.759857904085244</v>
      </c>
      <c r="H60">
        <v>40.090033222591366</v>
      </c>
      <c r="I60">
        <v>3.9847176079734199</v>
      </c>
      <c r="K60">
        <v>12.080465116279081</v>
      </c>
      <c r="L60">
        <v>114.23920265780731</v>
      </c>
      <c r="M60">
        <v>28.630564784053213</v>
      </c>
    </row>
    <row r="61" spans="1:13" x14ac:dyDescent="0.25">
      <c r="A61" t="s">
        <v>112</v>
      </c>
      <c r="B61">
        <v>967.89052514583352</v>
      </c>
      <c r="C61">
        <v>796.51458738544625</v>
      </c>
      <c r="D61">
        <v>771.18844956499879</v>
      </c>
      <c r="E61">
        <v>7.8443853820597926</v>
      </c>
      <c r="G61">
        <v>39.37300177619894</v>
      </c>
      <c r="H61">
        <v>21.098671096345516</v>
      </c>
      <c r="I61">
        <v>4.9106312292358796</v>
      </c>
      <c r="K61">
        <v>10.228903654485039</v>
      </c>
      <c r="L61">
        <v>95.368770764119603</v>
      </c>
      <c r="M61">
        <v>28.350166112956767</v>
      </c>
    </row>
    <row r="62" spans="1:13" x14ac:dyDescent="0.25">
      <c r="A62" t="s">
        <v>113</v>
      </c>
      <c r="B62">
        <v>1194.2317310364467</v>
      </c>
      <c r="C62">
        <v>799.79383161995327</v>
      </c>
      <c r="D62">
        <v>776.403859885001</v>
      </c>
      <c r="E62">
        <v>3.9659468438538181</v>
      </c>
      <c r="G62">
        <v>12.111367673179409</v>
      </c>
      <c r="H62">
        <v>43.397674418604666</v>
      </c>
      <c r="I62">
        <v>2.1627906976744233</v>
      </c>
      <c r="K62">
        <v>13.225049833887041</v>
      </c>
      <c r="L62">
        <v>125.25249169435216</v>
      </c>
      <c r="M62">
        <v>30.345182724252435</v>
      </c>
    </row>
    <row r="63" spans="1:13" x14ac:dyDescent="0.25">
      <c r="A63" t="s">
        <v>114</v>
      </c>
      <c r="B63">
        <v>1393.1869963879194</v>
      </c>
      <c r="C63">
        <v>801.06085023623507</v>
      </c>
      <c r="D63">
        <v>777.60563135000029</v>
      </c>
      <c r="E63">
        <v>0.67342192691029812</v>
      </c>
      <c r="G63">
        <v>35.867140319715773</v>
      </c>
      <c r="H63">
        <v>55.057142857142885</v>
      </c>
      <c r="I63">
        <v>0.92956810631229581</v>
      </c>
      <c r="K63">
        <v>15.792425249169451</v>
      </c>
      <c r="L63">
        <v>157.43853820598008</v>
      </c>
      <c r="M63">
        <v>30.745182724252544</v>
      </c>
    </row>
    <row r="64" spans="1:13" x14ac:dyDescent="0.25">
      <c r="A64" t="s">
        <v>115</v>
      </c>
      <c r="B64">
        <v>1592.4790219505855</v>
      </c>
      <c r="C64">
        <v>800.58238399561287</v>
      </c>
      <c r="D64">
        <v>782.10352005166715</v>
      </c>
      <c r="E64" t="e">
        <v>#DIV/0!</v>
      </c>
      <c r="G64" t="e">
        <v>#DIV/0!</v>
      </c>
      <c r="H64" t="e">
        <v>#DIV/0!</v>
      </c>
      <c r="I64" t="e">
        <v>#DIV/0!</v>
      </c>
      <c r="K64" t="e">
        <v>#DIV/0!</v>
      </c>
      <c r="L64" t="e">
        <v>#DIV/0!</v>
      </c>
      <c r="M64">
        <v>30.745182724252544</v>
      </c>
    </row>
    <row r="65" spans="1:13" x14ac:dyDescent="0.25">
      <c r="A65" t="s">
        <v>116</v>
      </c>
      <c r="B65">
        <v>1380.6635176438301</v>
      </c>
      <c r="C65">
        <v>1205.3098082801225</v>
      </c>
      <c r="D65">
        <v>1023.5213020758325</v>
      </c>
      <c r="E65">
        <v>3.403687707641192</v>
      </c>
      <c r="G65">
        <v>6.1364120781527562</v>
      </c>
      <c r="H65">
        <v>34.675083056478385</v>
      </c>
      <c r="I65">
        <v>1.301993355481732</v>
      </c>
      <c r="K65">
        <v>13.700631229235867</v>
      </c>
      <c r="L65">
        <v>133.51827242524917</v>
      </c>
      <c r="M65">
        <v>30.476411960132847</v>
      </c>
    </row>
    <row r="66" spans="1:13" x14ac:dyDescent="0.25">
      <c r="A66" t="s">
        <v>117</v>
      </c>
      <c r="B66">
        <v>1564.7989991659761</v>
      </c>
      <c r="C66">
        <v>1205.4945788156597</v>
      </c>
      <c r="D66">
        <v>962.41293377500006</v>
      </c>
      <c r="E66">
        <v>0.66504983388704364</v>
      </c>
      <c r="G66">
        <v>10.1</v>
      </c>
      <c r="H66">
        <v>42.476411960132886</v>
      </c>
      <c r="I66">
        <v>1.0205980066445193</v>
      </c>
      <c r="K66">
        <v>15.802425249169431</v>
      </c>
      <c r="L66">
        <v>162.03986710963454</v>
      </c>
      <c r="M66">
        <v>31.237541528239227</v>
      </c>
    </row>
    <row r="67" spans="1:13" x14ac:dyDescent="0.25">
      <c r="A67" t="s">
        <v>118</v>
      </c>
      <c r="B67">
        <v>1582.6488740617162</v>
      </c>
      <c r="C67">
        <v>1370.452043369459</v>
      </c>
      <c r="D67">
        <v>1102.5404035366655</v>
      </c>
      <c r="E67">
        <v>0.8747741935483877</v>
      </c>
      <c r="G67">
        <v>27.921935483870971</v>
      </c>
      <c r="H67">
        <v>41.985161290322594</v>
      </c>
      <c r="I67">
        <v>1.0735483870967737</v>
      </c>
      <c r="K67">
        <v>15.675935483870999</v>
      </c>
      <c r="L67">
        <v>161.98064516129031</v>
      </c>
      <c r="M67">
        <v>30.892903225806485</v>
      </c>
    </row>
    <row r="68" spans="1:13" x14ac:dyDescent="0.25">
      <c r="A68" t="s">
        <v>119</v>
      </c>
      <c r="B68">
        <v>999.99110864122395</v>
      </c>
      <c r="C68">
        <v>598.47624340094978</v>
      </c>
      <c r="D68">
        <v>593.86397445000011</v>
      </c>
      <c r="E68">
        <v>5.1804651162790902</v>
      </c>
      <c r="G68">
        <v>38.153818827708626</v>
      </c>
      <c r="H68">
        <v>38.092691029900301</v>
      </c>
      <c r="I68">
        <v>5.7887043189368672</v>
      </c>
      <c r="K68">
        <v>12.287142857142847</v>
      </c>
      <c r="L68">
        <v>113.79401993355482</v>
      </c>
      <c r="M68">
        <v>28.480066445182683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BDAC-7632-4E31-9419-5B0099E4EF80}">
  <dimension ref="A1:L42"/>
  <sheetViews>
    <sheetView workbookViewId="0">
      <selection activeCell="K67" sqref="K67"/>
    </sheetView>
  </sheetViews>
  <sheetFormatPr defaultRowHeight="15" x14ac:dyDescent="0.25"/>
  <cols>
    <col min="1" max="1" width="10.5703125" customWidth="1"/>
    <col min="2" max="11" width="7.85546875" customWidth="1"/>
  </cols>
  <sheetData>
    <row r="1" spans="1:12" ht="30" x14ac:dyDescent="0.25">
      <c r="A1" s="1" t="s">
        <v>0</v>
      </c>
      <c r="B1" s="1" t="s">
        <v>40</v>
      </c>
      <c r="C1" s="1" t="s">
        <v>50</v>
      </c>
      <c r="D1" s="1" t="s">
        <v>51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2" t="s">
        <v>125</v>
      </c>
      <c r="K1" s="1" t="s">
        <v>126</v>
      </c>
      <c r="L1" s="1" t="s">
        <v>127</v>
      </c>
    </row>
    <row r="2" spans="1:12" x14ac:dyDescent="0.25">
      <c r="A2" s="3" t="s">
        <v>128</v>
      </c>
      <c r="B2" s="3">
        <v>1000</v>
      </c>
      <c r="C2" s="3">
        <v>600</v>
      </c>
      <c r="D2" s="3">
        <v>4.7</v>
      </c>
      <c r="E2" s="3">
        <v>1.46</v>
      </c>
      <c r="F2" s="4">
        <v>7.1</v>
      </c>
      <c r="G2" s="4">
        <v>165.2</v>
      </c>
      <c r="H2" s="4">
        <v>1.9</v>
      </c>
      <c r="I2" s="4">
        <f>G2+H2</f>
        <v>167.1</v>
      </c>
      <c r="J2" s="3">
        <v>14.86</v>
      </c>
      <c r="K2" s="3">
        <v>353</v>
      </c>
      <c r="L2" s="3">
        <v>26.1</v>
      </c>
    </row>
    <row r="3" spans="1:12" x14ac:dyDescent="0.25">
      <c r="A3" s="3" t="s">
        <v>129</v>
      </c>
      <c r="B3" s="3">
        <v>800</v>
      </c>
      <c r="C3" s="3">
        <v>600</v>
      </c>
      <c r="D3" s="3">
        <v>4.7</v>
      </c>
      <c r="E3" s="3">
        <v>6.24</v>
      </c>
      <c r="F3" s="4">
        <v>2.2000000000000002</v>
      </c>
      <c r="G3" s="4">
        <v>124.6</v>
      </c>
      <c r="H3" s="4">
        <v>2.2000000000000002</v>
      </c>
      <c r="I3" s="4">
        <f t="shared" ref="I3:I42" si="0">G3+H3</f>
        <v>126.8</v>
      </c>
      <c r="J3" s="3">
        <v>11.2</v>
      </c>
      <c r="K3" s="3">
        <v>254</v>
      </c>
      <c r="L3" s="3">
        <v>24.7</v>
      </c>
    </row>
    <row r="4" spans="1:12" x14ac:dyDescent="0.25">
      <c r="A4" s="3" t="s">
        <v>130</v>
      </c>
      <c r="B4" s="3">
        <v>700</v>
      </c>
      <c r="C4" s="3">
        <v>600</v>
      </c>
      <c r="D4" s="3">
        <v>4.7</v>
      </c>
      <c r="E4" s="3">
        <v>8.43</v>
      </c>
      <c r="F4" s="4">
        <v>7.4</v>
      </c>
      <c r="G4" s="4">
        <v>107.7</v>
      </c>
      <c r="H4" s="4">
        <v>3.7</v>
      </c>
      <c r="I4" s="4">
        <f t="shared" si="0"/>
        <v>111.4</v>
      </c>
      <c r="J4" s="4">
        <v>9.7100000000000009</v>
      </c>
      <c r="K4" s="3">
        <v>217</v>
      </c>
      <c r="L4" s="3">
        <v>24.1</v>
      </c>
    </row>
    <row r="5" spans="1:12" x14ac:dyDescent="0.25">
      <c r="A5" s="5" t="s">
        <v>131</v>
      </c>
      <c r="B5" s="5">
        <v>1200</v>
      </c>
      <c r="C5" s="5">
        <v>600</v>
      </c>
      <c r="D5" s="5"/>
      <c r="E5" s="5"/>
      <c r="F5" s="6">
        <v>1000</v>
      </c>
      <c r="G5" s="6">
        <v>195</v>
      </c>
      <c r="H5" s="5">
        <v>1.5</v>
      </c>
      <c r="I5" s="6">
        <f t="shared" si="0"/>
        <v>196.5</v>
      </c>
      <c r="J5" s="5"/>
      <c r="K5" s="5"/>
      <c r="L5" s="5">
        <v>27</v>
      </c>
    </row>
    <row r="6" spans="1:12" x14ac:dyDescent="0.25">
      <c r="A6" s="5"/>
      <c r="B6" s="5">
        <v>600</v>
      </c>
      <c r="C6" s="5">
        <v>600</v>
      </c>
      <c r="D6" s="5"/>
      <c r="E6" s="5"/>
      <c r="F6" s="6">
        <v>1000</v>
      </c>
      <c r="G6" s="6">
        <v>90</v>
      </c>
      <c r="H6" s="5">
        <v>4.5</v>
      </c>
      <c r="I6" s="6">
        <f t="shared" si="0"/>
        <v>94.5</v>
      </c>
      <c r="J6" s="5"/>
      <c r="K6" s="5"/>
      <c r="L6" s="5">
        <v>23</v>
      </c>
    </row>
    <row r="7" spans="1:12" x14ac:dyDescent="0.25">
      <c r="A7" s="3" t="s">
        <v>132</v>
      </c>
      <c r="B7" s="3">
        <v>900</v>
      </c>
      <c r="C7" s="3">
        <v>400</v>
      </c>
      <c r="D7" s="3">
        <v>2.9</v>
      </c>
      <c r="E7" s="3">
        <v>1.06</v>
      </c>
      <c r="F7" s="4">
        <v>37.1</v>
      </c>
      <c r="G7" s="4">
        <v>180</v>
      </c>
      <c r="H7" s="4">
        <v>1.5</v>
      </c>
      <c r="I7" s="4">
        <f t="shared" si="0"/>
        <v>181.5</v>
      </c>
      <c r="J7" s="3">
        <v>15.18</v>
      </c>
      <c r="K7" s="3">
        <v>363</v>
      </c>
      <c r="L7" s="3">
        <v>24.4</v>
      </c>
    </row>
    <row r="8" spans="1:12" x14ac:dyDescent="0.25">
      <c r="A8" s="3" t="s">
        <v>133</v>
      </c>
      <c r="B8" s="3">
        <v>800</v>
      </c>
      <c r="C8" s="3">
        <v>400</v>
      </c>
      <c r="D8" s="3">
        <v>2.9</v>
      </c>
      <c r="E8" s="3">
        <v>3.75</v>
      </c>
      <c r="F8" s="4">
        <v>0</v>
      </c>
      <c r="G8" s="4">
        <v>161.5</v>
      </c>
      <c r="H8" s="4">
        <v>1.3</v>
      </c>
      <c r="I8" s="4">
        <f t="shared" si="0"/>
        <v>162.80000000000001</v>
      </c>
      <c r="J8" s="3">
        <v>13.13</v>
      </c>
      <c r="K8" s="3">
        <v>310</v>
      </c>
      <c r="L8" s="3">
        <v>23.9</v>
      </c>
    </row>
    <row r="9" spans="1:12" x14ac:dyDescent="0.25">
      <c r="A9" s="3" t="s">
        <v>134</v>
      </c>
      <c r="B9" s="3">
        <v>700</v>
      </c>
      <c r="C9" s="3">
        <v>400</v>
      </c>
      <c r="D9" s="3">
        <v>2.9</v>
      </c>
      <c r="E9" s="3">
        <v>6.62</v>
      </c>
      <c r="F9" s="4">
        <v>22.4</v>
      </c>
      <c r="G9" s="4">
        <v>114.9</v>
      </c>
      <c r="H9" s="4">
        <v>4.2</v>
      </c>
      <c r="I9" s="4">
        <f t="shared" si="0"/>
        <v>119.10000000000001</v>
      </c>
      <c r="J9" s="3">
        <v>10.95</v>
      </c>
      <c r="K9" s="3">
        <v>249</v>
      </c>
      <c r="L9" s="3">
        <v>23.4</v>
      </c>
    </row>
    <row r="10" spans="1:12" x14ac:dyDescent="0.25">
      <c r="A10" s="5"/>
      <c r="B10" s="5">
        <v>1000</v>
      </c>
      <c r="C10" s="5">
        <v>400</v>
      </c>
      <c r="D10" s="5" t="s">
        <v>135</v>
      </c>
      <c r="E10" s="5"/>
      <c r="F10" s="6">
        <v>1000</v>
      </c>
      <c r="G10" s="6">
        <v>200</v>
      </c>
      <c r="H10" s="6">
        <v>1.5</v>
      </c>
      <c r="I10" s="6">
        <f t="shared" si="0"/>
        <v>201.5</v>
      </c>
      <c r="J10" s="5"/>
      <c r="K10" s="5"/>
      <c r="L10" s="5">
        <v>23.2</v>
      </c>
    </row>
    <row r="11" spans="1:12" x14ac:dyDescent="0.25">
      <c r="A11" s="5"/>
      <c r="B11" s="5">
        <v>450</v>
      </c>
      <c r="C11" s="5">
        <v>400</v>
      </c>
      <c r="D11" s="5"/>
      <c r="E11" s="5"/>
      <c r="F11" s="6">
        <v>1000</v>
      </c>
      <c r="G11" s="6">
        <v>85</v>
      </c>
      <c r="H11" s="6">
        <v>4.5</v>
      </c>
      <c r="I11" s="6">
        <f t="shared" si="0"/>
        <v>89.5</v>
      </c>
      <c r="J11" s="5"/>
      <c r="K11" s="5"/>
      <c r="L11" s="5">
        <v>23</v>
      </c>
    </row>
    <row r="12" spans="1:12" x14ac:dyDescent="0.25">
      <c r="A12" s="5"/>
      <c r="B12" s="5">
        <v>400</v>
      </c>
      <c r="C12" s="5">
        <v>200</v>
      </c>
      <c r="D12" s="5"/>
      <c r="E12" s="5"/>
      <c r="F12" s="6">
        <v>10</v>
      </c>
      <c r="G12" s="6">
        <v>118</v>
      </c>
      <c r="H12" s="6">
        <v>4.5</v>
      </c>
      <c r="I12" s="6">
        <f t="shared" si="0"/>
        <v>122.5</v>
      </c>
      <c r="J12" s="5"/>
      <c r="K12" s="5"/>
      <c r="L12" s="5">
        <v>23</v>
      </c>
    </row>
    <row r="13" spans="1:12" x14ac:dyDescent="0.25">
      <c r="A13" s="5"/>
      <c r="B13" s="5">
        <v>600</v>
      </c>
      <c r="C13" s="5">
        <v>200</v>
      </c>
      <c r="D13" s="5"/>
      <c r="E13" s="5"/>
      <c r="F13" s="6">
        <v>10</v>
      </c>
      <c r="G13" s="6">
        <v>138</v>
      </c>
      <c r="H13" s="6">
        <v>4</v>
      </c>
      <c r="I13" s="6">
        <f t="shared" si="0"/>
        <v>142</v>
      </c>
      <c r="J13" s="5"/>
      <c r="K13" s="5"/>
      <c r="L13" s="5">
        <v>23</v>
      </c>
    </row>
    <row r="14" spans="1:12" x14ac:dyDescent="0.25">
      <c r="A14" s="3" t="s">
        <v>136</v>
      </c>
      <c r="B14" s="3">
        <v>800</v>
      </c>
      <c r="C14" s="3">
        <v>200</v>
      </c>
      <c r="D14" s="3">
        <v>1.6</v>
      </c>
      <c r="E14" s="3">
        <v>1.64</v>
      </c>
      <c r="F14" s="4">
        <v>220</v>
      </c>
      <c r="G14" s="4">
        <v>158.30000000000001</v>
      </c>
      <c r="H14" s="4">
        <v>3.1</v>
      </c>
      <c r="I14" s="4">
        <f t="shared" si="0"/>
        <v>161.4</v>
      </c>
      <c r="J14" s="3">
        <v>14.83</v>
      </c>
      <c r="K14" s="3">
        <v>336</v>
      </c>
      <c r="L14" s="3">
        <v>22.8</v>
      </c>
    </row>
    <row r="15" spans="1:12" x14ac:dyDescent="0.25">
      <c r="A15" s="3" t="s">
        <v>137</v>
      </c>
      <c r="B15" s="3">
        <v>1000</v>
      </c>
      <c r="C15" s="3">
        <v>800</v>
      </c>
      <c r="D15" s="3">
        <v>6.4</v>
      </c>
      <c r="E15" s="3">
        <v>4.51</v>
      </c>
      <c r="F15" s="4">
        <v>0.6</v>
      </c>
      <c r="G15" s="4">
        <v>144.9</v>
      </c>
      <c r="H15" s="4">
        <v>1.7</v>
      </c>
      <c r="I15" s="4">
        <f t="shared" si="0"/>
        <v>146.6</v>
      </c>
      <c r="J15" s="3">
        <v>12.68</v>
      </c>
      <c r="K15" s="3">
        <v>300</v>
      </c>
      <c r="L15" s="3">
        <v>24.6</v>
      </c>
    </row>
    <row r="16" spans="1:12" x14ac:dyDescent="0.25">
      <c r="A16" s="3" t="s">
        <v>138</v>
      </c>
      <c r="B16" s="3">
        <v>900</v>
      </c>
      <c r="C16" s="3">
        <v>800</v>
      </c>
      <c r="D16" s="3">
        <v>6.7</v>
      </c>
      <c r="E16" s="3">
        <v>6.83</v>
      </c>
      <c r="F16" s="4">
        <v>1.4</v>
      </c>
      <c r="G16" s="4">
        <v>128.80000000000001</v>
      </c>
      <c r="H16" s="4">
        <v>1.8</v>
      </c>
      <c r="I16" s="4">
        <f t="shared" si="0"/>
        <v>130.60000000000002</v>
      </c>
      <c r="J16" s="3">
        <v>10.99</v>
      </c>
      <c r="K16" s="3">
        <v>256</v>
      </c>
      <c r="L16" s="3">
        <v>24.6</v>
      </c>
    </row>
    <row r="17" spans="1:12" x14ac:dyDescent="0.25">
      <c r="A17" s="3" t="s">
        <v>139</v>
      </c>
      <c r="B17" s="3">
        <v>800</v>
      </c>
      <c r="C17" s="3">
        <v>800</v>
      </c>
      <c r="D17" s="3">
        <v>6.8</v>
      </c>
      <c r="E17" s="3">
        <v>8.75</v>
      </c>
      <c r="F17" s="4">
        <v>4.4000000000000004</v>
      </c>
      <c r="G17" s="4">
        <v>119.7</v>
      </c>
      <c r="H17" s="4">
        <v>2.5</v>
      </c>
      <c r="I17" s="4">
        <f t="shared" si="0"/>
        <v>122.2</v>
      </c>
      <c r="J17" s="3">
        <v>9.4700000000000006</v>
      </c>
      <c r="K17" s="3">
        <v>217</v>
      </c>
      <c r="L17" s="3">
        <v>24.2</v>
      </c>
    </row>
    <row r="18" spans="1:12" x14ac:dyDescent="0.25">
      <c r="A18" s="3" t="s">
        <v>140</v>
      </c>
      <c r="B18" s="3">
        <v>1100</v>
      </c>
      <c r="C18" s="3">
        <v>800</v>
      </c>
      <c r="D18" s="3">
        <v>6.7</v>
      </c>
      <c r="E18" s="3">
        <v>2.66</v>
      </c>
      <c r="F18" s="4">
        <v>4.0999999999999996</v>
      </c>
      <c r="G18" s="4">
        <v>161</v>
      </c>
      <c r="H18" s="4">
        <v>2.1</v>
      </c>
      <c r="I18" s="4">
        <f t="shared" si="0"/>
        <v>163.1</v>
      </c>
      <c r="J18" s="3">
        <v>14.05</v>
      </c>
      <c r="K18" s="3">
        <v>336</v>
      </c>
      <c r="L18" s="3">
        <v>25.4</v>
      </c>
    </row>
    <row r="19" spans="1:12" x14ac:dyDescent="0.25">
      <c r="A19" s="3" t="s">
        <v>141</v>
      </c>
      <c r="B19" s="3">
        <v>1200</v>
      </c>
      <c r="C19" s="3">
        <v>800</v>
      </c>
      <c r="D19" s="3">
        <v>6.5</v>
      </c>
      <c r="E19" s="3">
        <v>0.85</v>
      </c>
      <c r="F19" s="4">
        <v>159.9</v>
      </c>
      <c r="G19" s="4">
        <v>167.9</v>
      </c>
      <c r="H19" s="4">
        <v>2.1</v>
      </c>
      <c r="I19" s="4">
        <f t="shared" si="0"/>
        <v>170</v>
      </c>
      <c r="J19" s="3">
        <v>15.45</v>
      </c>
      <c r="K19" s="3">
        <v>379</v>
      </c>
      <c r="L19" s="3">
        <v>25.6</v>
      </c>
    </row>
    <row r="20" spans="1:12" x14ac:dyDescent="0.25">
      <c r="A20" s="5"/>
      <c r="B20" s="5">
        <v>1300</v>
      </c>
      <c r="C20" s="5">
        <v>800</v>
      </c>
      <c r="D20" s="5"/>
      <c r="E20" s="5"/>
      <c r="F20" s="6">
        <v>1000</v>
      </c>
      <c r="G20" s="6">
        <v>175</v>
      </c>
      <c r="H20" s="6">
        <v>3</v>
      </c>
      <c r="I20" s="6">
        <f t="shared" si="0"/>
        <v>178</v>
      </c>
      <c r="J20" s="5"/>
      <c r="K20" s="5"/>
      <c r="L20" s="5">
        <v>25</v>
      </c>
    </row>
    <row r="21" spans="1:12" x14ac:dyDescent="0.25">
      <c r="A21" s="5"/>
      <c r="B21" s="5">
        <v>700</v>
      </c>
      <c r="C21" s="5">
        <v>800</v>
      </c>
      <c r="D21" s="5"/>
      <c r="E21" s="5"/>
      <c r="F21" s="6">
        <v>1000</v>
      </c>
      <c r="G21" s="6">
        <v>105</v>
      </c>
      <c r="H21" s="6">
        <v>2</v>
      </c>
      <c r="I21" s="6">
        <f t="shared" si="0"/>
        <v>107</v>
      </c>
      <c r="J21" s="5"/>
      <c r="K21" s="5"/>
      <c r="L21" s="5">
        <v>25</v>
      </c>
    </row>
    <row r="22" spans="1:12" x14ac:dyDescent="0.25">
      <c r="A22" s="3" t="s">
        <v>142</v>
      </c>
      <c r="B22" s="3">
        <v>1000</v>
      </c>
      <c r="C22" s="3">
        <v>1000</v>
      </c>
      <c r="D22" s="3">
        <v>8.6999999999999993</v>
      </c>
      <c r="E22" s="3">
        <v>6.1</v>
      </c>
      <c r="F22" s="4">
        <v>1.9</v>
      </c>
      <c r="G22" s="4">
        <v>125.4</v>
      </c>
      <c r="H22" s="4">
        <v>1.8</v>
      </c>
      <c r="I22" s="4">
        <f t="shared" si="0"/>
        <v>127.2</v>
      </c>
      <c r="J22" s="3">
        <v>11.39</v>
      </c>
      <c r="K22" s="3">
        <v>242</v>
      </c>
      <c r="L22" s="3">
        <v>25.5</v>
      </c>
    </row>
    <row r="23" spans="1:12" x14ac:dyDescent="0.25">
      <c r="A23" s="3" t="s">
        <v>143</v>
      </c>
      <c r="B23" s="3">
        <v>900</v>
      </c>
      <c r="C23" s="3">
        <v>1000</v>
      </c>
      <c r="D23" s="3">
        <v>8.5</v>
      </c>
      <c r="E23" s="3">
        <v>8.1</v>
      </c>
      <c r="F23" s="4">
        <v>1.9</v>
      </c>
      <c r="G23" s="4">
        <v>119.5</v>
      </c>
      <c r="H23" s="4">
        <v>2.1</v>
      </c>
      <c r="I23" s="4">
        <f t="shared" si="0"/>
        <v>121.6</v>
      </c>
      <c r="J23" s="3">
        <v>10.06</v>
      </c>
      <c r="K23" s="3">
        <v>210</v>
      </c>
      <c r="L23" s="3">
        <v>25.1</v>
      </c>
    </row>
    <row r="24" spans="1:12" x14ac:dyDescent="0.25">
      <c r="A24" s="3" t="s">
        <v>144</v>
      </c>
      <c r="B24" s="3">
        <v>1100</v>
      </c>
      <c r="C24" s="3">
        <v>1000</v>
      </c>
      <c r="D24" s="3">
        <v>8.4</v>
      </c>
      <c r="E24" s="3">
        <v>4.62</v>
      </c>
      <c r="F24" s="4">
        <v>2.6</v>
      </c>
      <c r="G24" s="4">
        <v>134.9</v>
      </c>
      <c r="H24" s="4">
        <v>2.2000000000000002</v>
      </c>
      <c r="I24" s="4">
        <f t="shared" si="0"/>
        <v>137.1</v>
      </c>
      <c r="J24" s="3">
        <v>12.54</v>
      </c>
      <c r="K24" s="3">
        <v>257</v>
      </c>
      <c r="L24" s="3">
        <v>25.8</v>
      </c>
    </row>
    <row r="25" spans="1:12" x14ac:dyDescent="0.25">
      <c r="A25" s="3" t="s">
        <v>145</v>
      </c>
      <c r="B25" s="3">
        <v>1200</v>
      </c>
      <c r="C25" s="3">
        <v>1000</v>
      </c>
      <c r="D25" s="3">
        <v>8.4</v>
      </c>
      <c r="E25" s="3">
        <v>2.94</v>
      </c>
      <c r="F25" s="4">
        <v>4.0999999999999996</v>
      </c>
      <c r="G25" s="4">
        <v>149.4</v>
      </c>
      <c r="H25" s="4">
        <v>2.2000000000000002</v>
      </c>
      <c r="I25" s="4">
        <f t="shared" si="0"/>
        <v>151.6</v>
      </c>
      <c r="J25" s="3">
        <v>13.81</v>
      </c>
      <c r="K25" s="3">
        <v>293</v>
      </c>
      <c r="L25" s="3">
        <v>26.3</v>
      </c>
    </row>
    <row r="26" spans="1:12" x14ac:dyDescent="0.25">
      <c r="A26" s="3" t="s">
        <v>146</v>
      </c>
      <c r="B26" s="3">
        <v>1300</v>
      </c>
      <c r="C26" s="3">
        <v>1000</v>
      </c>
      <c r="D26" s="3">
        <v>8.4</v>
      </c>
      <c r="E26" s="3">
        <v>1.67</v>
      </c>
      <c r="F26" s="4">
        <v>6.2</v>
      </c>
      <c r="G26" s="4">
        <v>159.30000000000001</v>
      </c>
      <c r="H26" s="4">
        <v>1.9</v>
      </c>
      <c r="I26" s="4">
        <f t="shared" si="0"/>
        <v>161.20000000000002</v>
      </c>
      <c r="J26" s="3">
        <v>14.69</v>
      </c>
      <c r="K26" s="3">
        <v>317</v>
      </c>
      <c r="L26" s="3">
        <v>26.7</v>
      </c>
    </row>
    <row r="27" spans="1:12" x14ac:dyDescent="0.25">
      <c r="A27" s="5"/>
      <c r="B27" s="5">
        <v>1400</v>
      </c>
      <c r="C27" s="5">
        <v>1000</v>
      </c>
      <c r="D27" s="5"/>
      <c r="E27" s="5"/>
      <c r="F27" s="6">
        <v>1000</v>
      </c>
      <c r="G27" s="6">
        <v>168</v>
      </c>
      <c r="H27" s="6">
        <v>1.8</v>
      </c>
      <c r="I27" s="6">
        <f t="shared" si="0"/>
        <v>169.8</v>
      </c>
      <c r="J27" s="5"/>
      <c r="K27" s="5"/>
      <c r="L27" s="5">
        <v>27</v>
      </c>
    </row>
    <row r="28" spans="1:12" x14ac:dyDescent="0.25">
      <c r="A28" s="5"/>
      <c r="B28" s="5">
        <v>800</v>
      </c>
      <c r="C28" s="5">
        <v>1000</v>
      </c>
      <c r="D28" s="5"/>
      <c r="E28" s="5"/>
      <c r="F28" s="6">
        <v>1000</v>
      </c>
      <c r="G28" s="6">
        <v>110</v>
      </c>
      <c r="H28" s="6">
        <v>2.5</v>
      </c>
      <c r="I28" s="6">
        <f t="shared" si="0"/>
        <v>112.5</v>
      </c>
      <c r="J28" s="5"/>
      <c r="K28" s="5"/>
      <c r="L28" s="5">
        <v>25</v>
      </c>
    </row>
    <row r="29" spans="1:12" x14ac:dyDescent="0.25">
      <c r="A29" s="3" t="s">
        <v>147</v>
      </c>
      <c r="B29" s="3">
        <v>1300</v>
      </c>
      <c r="C29" s="3">
        <v>1200</v>
      </c>
      <c r="D29" s="3">
        <v>10.4</v>
      </c>
      <c r="E29" s="3">
        <v>4.2300000000000004</v>
      </c>
      <c r="F29" s="4">
        <v>4.2</v>
      </c>
      <c r="G29" s="4">
        <v>128.9</v>
      </c>
      <c r="H29" s="4">
        <v>2.2000000000000002</v>
      </c>
      <c r="I29" s="4">
        <f t="shared" si="0"/>
        <v>131.1</v>
      </c>
      <c r="J29" s="3">
        <v>13.09</v>
      </c>
      <c r="K29" s="3">
        <v>270</v>
      </c>
      <c r="L29" s="3">
        <v>26.6</v>
      </c>
    </row>
    <row r="30" spans="1:12" x14ac:dyDescent="0.25">
      <c r="A30" s="3" t="s">
        <v>148</v>
      </c>
      <c r="B30" s="3">
        <v>1400</v>
      </c>
      <c r="C30" s="3">
        <v>1200</v>
      </c>
      <c r="D30" s="3">
        <v>10.199999999999999</v>
      </c>
      <c r="E30" s="3">
        <v>1.66</v>
      </c>
      <c r="F30" s="4">
        <v>5.6</v>
      </c>
      <c r="G30" s="4">
        <v>160.6</v>
      </c>
      <c r="H30" s="4">
        <v>1.9</v>
      </c>
      <c r="I30" s="4">
        <f t="shared" si="0"/>
        <v>162.5</v>
      </c>
      <c r="J30" s="3">
        <v>14.87</v>
      </c>
      <c r="K30" s="3">
        <v>319</v>
      </c>
      <c r="L30" s="3">
        <v>27.5</v>
      </c>
    </row>
    <row r="31" spans="1:12" x14ac:dyDescent="0.25">
      <c r="A31" s="3" t="s">
        <v>149</v>
      </c>
      <c r="B31" s="7">
        <v>1200</v>
      </c>
      <c r="C31" s="3">
        <v>1200</v>
      </c>
      <c r="D31" s="3">
        <v>10.4</v>
      </c>
      <c r="E31" s="3">
        <v>6.05</v>
      </c>
      <c r="F31" s="4">
        <v>3.1</v>
      </c>
      <c r="G31" s="4">
        <v>130.4</v>
      </c>
      <c r="H31" s="4">
        <v>1.9</v>
      </c>
      <c r="I31" s="4">
        <f t="shared" si="0"/>
        <v>132.30000000000001</v>
      </c>
      <c r="J31" s="3">
        <v>11.76</v>
      </c>
      <c r="K31" s="3">
        <v>247</v>
      </c>
      <c r="L31" s="3">
        <v>27</v>
      </c>
    </row>
    <row r="32" spans="1:12" x14ac:dyDescent="0.25">
      <c r="A32" s="3" t="s">
        <v>150</v>
      </c>
      <c r="B32" s="3">
        <v>1100</v>
      </c>
      <c r="C32" s="3">
        <v>1200</v>
      </c>
      <c r="D32" s="3">
        <v>10.6</v>
      </c>
      <c r="E32" s="3">
        <v>6.93</v>
      </c>
      <c r="F32" s="4">
        <v>1.7</v>
      </c>
      <c r="G32" s="4">
        <v>126.6</v>
      </c>
      <c r="H32" s="4">
        <v>1.9</v>
      </c>
      <c r="I32" s="4">
        <f t="shared" si="0"/>
        <v>128.5</v>
      </c>
      <c r="J32" s="3">
        <v>10.8</v>
      </c>
      <c r="K32" s="3">
        <v>222</v>
      </c>
      <c r="L32" s="3">
        <v>26.5</v>
      </c>
    </row>
    <row r="33" spans="1:12" x14ac:dyDescent="0.25">
      <c r="A33" s="3" t="s">
        <v>151</v>
      </c>
      <c r="B33" s="3">
        <v>1000</v>
      </c>
      <c r="C33" s="3">
        <v>1200</v>
      </c>
      <c r="D33" s="3">
        <v>10.6</v>
      </c>
      <c r="E33" s="3">
        <v>8.2200000000000006</v>
      </c>
      <c r="F33" s="4">
        <v>2.4</v>
      </c>
      <c r="G33" s="4">
        <v>118.3</v>
      </c>
      <c r="H33" s="4">
        <v>2</v>
      </c>
      <c r="I33" s="4">
        <f t="shared" si="0"/>
        <v>120.3</v>
      </c>
      <c r="J33" s="3">
        <v>9.85</v>
      </c>
      <c r="K33" s="3">
        <v>203</v>
      </c>
      <c r="L33" s="3">
        <v>26.2</v>
      </c>
    </row>
    <row r="34" spans="1:12" x14ac:dyDescent="0.25">
      <c r="A34" s="5"/>
      <c r="B34" s="5">
        <v>1500</v>
      </c>
      <c r="C34" s="5">
        <v>1200</v>
      </c>
      <c r="D34" s="5"/>
      <c r="E34" s="5"/>
      <c r="F34" s="6">
        <v>1000</v>
      </c>
      <c r="G34" s="6">
        <v>175</v>
      </c>
      <c r="H34" s="6">
        <v>1.8</v>
      </c>
      <c r="I34" s="6">
        <f t="shared" si="0"/>
        <v>176.8</v>
      </c>
      <c r="J34" s="5"/>
      <c r="K34" s="5"/>
      <c r="L34" s="5">
        <v>26</v>
      </c>
    </row>
    <row r="35" spans="1:12" x14ac:dyDescent="0.25">
      <c r="A35" s="5"/>
      <c r="B35" s="5">
        <v>900</v>
      </c>
      <c r="C35" s="5">
        <v>1200</v>
      </c>
      <c r="D35" s="5"/>
      <c r="E35" s="5"/>
      <c r="F35" s="6">
        <v>1000</v>
      </c>
      <c r="G35" s="6">
        <v>110</v>
      </c>
      <c r="H35" s="6">
        <v>2</v>
      </c>
      <c r="I35" s="6">
        <f t="shared" si="0"/>
        <v>112</v>
      </c>
      <c r="J35" s="5"/>
      <c r="K35" s="5"/>
      <c r="L35" s="5">
        <v>28</v>
      </c>
    </row>
    <row r="36" spans="1:12" x14ac:dyDescent="0.25">
      <c r="A36" s="3" t="s">
        <v>152</v>
      </c>
      <c r="B36" s="3">
        <v>1500</v>
      </c>
      <c r="C36" s="3">
        <v>1400</v>
      </c>
      <c r="D36" s="3">
        <v>11.4</v>
      </c>
      <c r="E36" s="3">
        <v>1.42</v>
      </c>
      <c r="F36" s="4">
        <v>8.4</v>
      </c>
      <c r="G36" s="4">
        <v>160.4</v>
      </c>
      <c r="H36" s="4">
        <v>2.1</v>
      </c>
      <c r="I36" s="4">
        <f t="shared" si="0"/>
        <v>162.5</v>
      </c>
      <c r="J36" s="3">
        <v>14.99</v>
      </c>
      <c r="K36" s="3">
        <v>317</v>
      </c>
      <c r="L36" s="3">
        <v>28</v>
      </c>
    </row>
    <row r="37" spans="1:12" x14ac:dyDescent="0.25">
      <c r="A37" s="3" t="s">
        <v>153</v>
      </c>
      <c r="B37" s="3">
        <v>1400</v>
      </c>
      <c r="C37" s="3">
        <v>1400</v>
      </c>
      <c r="D37" s="3">
        <v>11.6</v>
      </c>
      <c r="E37" s="3">
        <v>2.94</v>
      </c>
      <c r="F37" s="4">
        <v>4.9000000000000004</v>
      </c>
      <c r="G37" s="4">
        <v>150.1</v>
      </c>
      <c r="H37" s="4">
        <v>2.2000000000000002</v>
      </c>
      <c r="I37" s="4">
        <f t="shared" si="0"/>
        <v>152.29999999999998</v>
      </c>
      <c r="J37" s="3">
        <v>13.96</v>
      </c>
      <c r="K37" s="3">
        <v>293</v>
      </c>
      <c r="L37" s="3">
        <v>27.8</v>
      </c>
    </row>
    <row r="38" spans="1:12" x14ac:dyDescent="0.25">
      <c r="A38" s="3" t="s">
        <v>154</v>
      </c>
      <c r="B38" s="3">
        <v>1300</v>
      </c>
      <c r="C38" s="3">
        <v>1400</v>
      </c>
      <c r="D38" s="3">
        <v>11.8</v>
      </c>
      <c r="E38" s="3">
        <v>4.9000000000000004</v>
      </c>
      <c r="F38" s="4">
        <v>3.5</v>
      </c>
      <c r="G38" s="4">
        <v>134.5</v>
      </c>
      <c r="H38" s="4">
        <v>2.2999999999999998</v>
      </c>
      <c r="I38" s="4">
        <f t="shared" si="0"/>
        <v>136.80000000000001</v>
      </c>
      <c r="J38" s="3">
        <v>12.31</v>
      </c>
      <c r="K38" s="3">
        <v>255</v>
      </c>
      <c r="L38" s="3">
        <v>27.3</v>
      </c>
    </row>
    <row r="39" spans="1:12" x14ac:dyDescent="0.25">
      <c r="A39" s="3" t="s">
        <v>155</v>
      </c>
      <c r="B39" s="3">
        <v>1200</v>
      </c>
      <c r="C39" s="3">
        <v>1400</v>
      </c>
      <c r="D39" s="3">
        <v>11.7</v>
      </c>
      <c r="E39" s="3">
        <v>6.04</v>
      </c>
      <c r="F39" s="4">
        <v>2.8</v>
      </c>
      <c r="G39" s="4">
        <v>129.5</v>
      </c>
      <c r="H39" s="4">
        <v>1.7</v>
      </c>
      <c r="I39" s="4">
        <f t="shared" si="0"/>
        <v>131.19999999999999</v>
      </c>
      <c r="J39" s="3">
        <v>11.62</v>
      </c>
      <c r="K39" s="3">
        <v>242</v>
      </c>
      <c r="L39" s="3">
        <v>27.3</v>
      </c>
    </row>
    <row r="40" spans="1:12" x14ac:dyDescent="0.25">
      <c r="A40" s="3" t="s">
        <v>156</v>
      </c>
      <c r="B40" s="3">
        <v>1100</v>
      </c>
      <c r="C40" s="3">
        <v>1400</v>
      </c>
      <c r="D40" s="3">
        <v>12</v>
      </c>
      <c r="E40" s="3">
        <v>7.72</v>
      </c>
      <c r="F40" s="4">
        <v>2</v>
      </c>
      <c r="G40" s="4">
        <v>123.1</v>
      </c>
      <c r="H40" s="4">
        <v>2.2000000000000002</v>
      </c>
      <c r="I40" s="4">
        <f t="shared" si="0"/>
        <v>125.3</v>
      </c>
      <c r="J40" s="3">
        <v>10.19</v>
      </c>
      <c r="K40" s="3">
        <v>213</v>
      </c>
      <c r="L40" s="3">
        <v>27</v>
      </c>
    </row>
    <row r="41" spans="1:12" x14ac:dyDescent="0.25">
      <c r="A41" s="5"/>
      <c r="B41" s="5">
        <v>1600</v>
      </c>
      <c r="C41" s="5">
        <v>1400</v>
      </c>
      <c r="D41" s="5"/>
      <c r="E41" s="5"/>
      <c r="F41" s="6">
        <v>1000</v>
      </c>
      <c r="G41" s="5">
        <v>170</v>
      </c>
      <c r="H41" s="5">
        <v>1.6</v>
      </c>
      <c r="I41" s="6">
        <f t="shared" si="0"/>
        <v>171.6</v>
      </c>
      <c r="J41" s="5"/>
      <c r="K41" s="5"/>
      <c r="L41" s="5">
        <v>29</v>
      </c>
    </row>
    <row r="42" spans="1:12" x14ac:dyDescent="0.25">
      <c r="A42" s="5"/>
      <c r="B42" s="5">
        <v>950</v>
      </c>
      <c r="C42" s="5">
        <v>1400</v>
      </c>
      <c r="D42" s="5"/>
      <c r="E42" s="5"/>
      <c r="F42" s="6">
        <v>1000</v>
      </c>
      <c r="G42" s="5">
        <v>110</v>
      </c>
      <c r="H42" s="5">
        <v>2.4</v>
      </c>
      <c r="I42" s="6">
        <f t="shared" si="0"/>
        <v>112.4</v>
      </c>
      <c r="J42" s="5"/>
      <c r="K42" s="5"/>
      <c r="L42" s="5">
        <v>26.5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7F6C-E44C-4238-8A54-DFFE2A135B08}">
  <dimension ref="A1:L22"/>
  <sheetViews>
    <sheetView workbookViewId="0">
      <selection activeCell="L18" sqref="L18"/>
    </sheetView>
  </sheetViews>
  <sheetFormatPr defaultRowHeight="15" x14ac:dyDescent="0.25"/>
  <cols>
    <col min="1" max="1" width="10.5703125" customWidth="1"/>
    <col min="2" max="11" width="7.85546875" customWidth="1"/>
  </cols>
  <sheetData>
    <row r="1" spans="1:12" ht="30" x14ac:dyDescent="0.25">
      <c r="A1" s="1" t="s">
        <v>0</v>
      </c>
      <c r="B1" s="1" t="s">
        <v>40</v>
      </c>
      <c r="C1" s="1" t="s">
        <v>50</v>
      </c>
      <c r="D1" s="1" t="s">
        <v>51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2" t="s">
        <v>125</v>
      </c>
      <c r="K1" s="1" t="s">
        <v>126</v>
      </c>
      <c r="L1" s="1" t="s">
        <v>127</v>
      </c>
    </row>
    <row r="2" spans="1:12" x14ac:dyDescent="0.25">
      <c r="A2" s="5"/>
      <c r="B2" s="5">
        <v>450</v>
      </c>
      <c r="C2" s="5">
        <v>600</v>
      </c>
      <c r="D2" s="5">
        <v>4.7</v>
      </c>
      <c r="E2" s="5"/>
      <c r="F2" s="6">
        <v>500</v>
      </c>
      <c r="G2" s="6">
        <v>180</v>
      </c>
      <c r="H2" s="6">
        <v>0</v>
      </c>
      <c r="I2" s="6">
        <v>180</v>
      </c>
      <c r="J2" s="5">
        <v>7.6</v>
      </c>
      <c r="K2" s="5">
        <v>580</v>
      </c>
      <c r="L2" s="5">
        <v>20</v>
      </c>
    </row>
    <row r="3" spans="1:12" x14ac:dyDescent="0.25">
      <c r="A3" s="3"/>
      <c r="B3" s="3">
        <v>500</v>
      </c>
      <c r="C3" s="3">
        <v>600</v>
      </c>
      <c r="D3" s="7">
        <v>4.7</v>
      </c>
      <c r="E3" s="8">
        <v>10.63</v>
      </c>
      <c r="F3" s="9">
        <v>100.4</v>
      </c>
      <c r="G3" s="9">
        <v>177.6</v>
      </c>
      <c r="H3" s="9">
        <v>0</v>
      </c>
      <c r="I3" s="9">
        <v>177.6</v>
      </c>
      <c r="J3" s="8">
        <v>8.51</v>
      </c>
      <c r="K3" s="10">
        <v>645</v>
      </c>
      <c r="L3" s="9">
        <v>20.399999999999999</v>
      </c>
    </row>
    <row r="4" spans="1:12" x14ac:dyDescent="0.25">
      <c r="A4" s="3"/>
      <c r="B4" s="3">
        <v>800</v>
      </c>
      <c r="C4" s="3">
        <v>600</v>
      </c>
      <c r="D4" s="7">
        <v>4.7</v>
      </c>
      <c r="E4" s="8">
        <v>6.6</v>
      </c>
      <c r="F4" s="9">
        <v>2.1</v>
      </c>
      <c r="G4" s="9">
        <v>260.60000000000002</v>
      </c>
      <c r="H4" s="9">
        <v>0</v>
      </c>
      <c r="I4" s="9">
        <v>260.60000000000002</v>
      </c>
      <c r="J4" s="8">
        <v>11.56</v>
      </c>
      <c r="K4" s="10">
        <v>894</v>
      </c>
      <c r="L4" s="9">
        <v>23.3</v>
      </c>
    </row>
    <row r="5" spans="1:12" x14ac:dyDescent="0.25">
      <c r="A5" s="3"/>
      <c r="B5" s="3">
        <v>830</v>
      </c>
      <c r="C5" s="3">
        <v>600</v>
      </c>
      <c r="D5" s="7">
        <v>4.7</v>
      </c>
      <c r="E5" s="8">
        <v>6.19</v>
      </c>
      <c r="F5" s="9">
        <v>1.3</v>
      </c>
      <c r="G5" s="9">
        <v>255.2</v>
      </c>
      <c r="H5" s="9">
        <v>0</v>
      </c>
      <c r="I5" s="9">
        <v>255.2</v>
      </c>
      <c r="J5" s="8">
        <v>11.72</v>
      </c>
      <c r="K5" s="10">
        <v>888</v>
      </c>
      <c r="L5" s="9">
        <v>23.6</v>
      </c>
    </row>
    <row r="6" spans="1:12" x14ac:dyDescent="0.25">
      <c r="A6" s="3"/>
      <c r="B6" s="3">
        <v>900</v>
      </c>
      <c r="C6" s="3">
        <v>600</v>
      </c>
      <c r="D6" s="7">
        <v>4.7</v>
      </c>
      <c r="E6" s="8">
        <v>4.92</v>
      </c>
      <c r="F6" s="9">
        <v>1.5</v>
      </c>
      <c r="G6" s="9">
        <v>280.5</v>
      </c>
      <c r="H6" s="9">
        <v>0</v>
      </c>
      <c r="I6" s="9">
        <v>280.5</v>
      </c>
      <c r="J6" s="8">
        <v>12.91</v>
      </c>
      <c r="K6" s="10">
        <v>978</v>
      </c>
      <c r="L6" s="9">
        <v>23.4</v>
      </c>
    </row>
    <row r="7" spans="1:12" x14ac:dyDescent="0.25">
      <c r="A7" s="3"/>
      <c r="B7" s="7">
        <v>950</v>
      </c>
      <c r="C7" s="7">
        <v>600</v>
      </c>
      <c r="D7" s="7">
        <v>4.7</v>
      </c>
      <c r="E7" s="8">
        <v>3.78</v>
      </c>
      <c r="F7" s="9">
        <v>0.9</v>
      </c>
      <c r="G7" s="9">
        <v>295.8</v>
      </c>
      <c r="H7" s="9">
        <v>0</v>
      </c>
      <c r="I7" s="9">
        <v>295.8</v>
      </c>
      <c r="J7" s="8">
        <v>13.89</v>
      </c>
      <c r="K7" s="10">
        <v>1021</v>
      </c>
      <c r="L7" s="9">
        <v>23.5</v>
      </c>
    </row>
    <row r="8" spans="1:12" x14ac:dyDescent="0.25">
      <c r="A8" s="3"/>
      <c r="B8" s="7">
        <v>1020</v>
      </c>
      <c r="C8" s="7">
        <v>600</v>
      </c>
      <c r="D8" s="7">
        <v>4.7</v>
      </c>
      <c r="E8" s="8">
        <v>1.81</v>
      </c>
      <c r="F8" s="9">
        <v>40</v>
      </c>
      <c r="G8" s="9">
        <v>296.10000000000002</v>
      </c>
      <c r="H8" s="9">
        <v>0</v>
      </c>
      <c r="I8" s="9">
        <v>296.10000000000002</v>
      </c>
      <c r="J8" s="8">
        <v>15.43</v>
      </c>
      <c r="K8" s="10">
        <v>1163</v>
      </c>
      <c r="L8" s="9">
        <v>23</v>
      </c>
    </row>
    <row r="9" spans="1:12" x14ac:dyDescent="0.25">
      <c r="A9" s="5"/>
      <c r="B9" s="5">
        <v>1050</v>
      </c>
      <c r="C9" s="5">
        <v>600</v>
      </c>
      <c r="D9" s="5">
        <v>4.7</v>
      </c>
      <c r="E9" s="5"/>
      <c r="F9" s="6">
        <v>500</v>
      </c>
      <c r="G9" s="6">
        <v>300</v>
      </c>
      <c r="H9" s="6">
        <v>0</v>
      </c>
      <c r="I9" s="6">
        <v>300</v>
      </c>
      <c r="J9" s="5">
        <v>16.3</v>
      </c>
      <c r="K9" s="5">
        <v>1240</v>
      </c>
      <c r="L9" s="5">
        <v>22.5</v>
      </c>
    </row>
    <row r="10" spans="1:12" x14ac:dyDescent="0.25">
      <c r="A10" s="5"/>
      <c r="B10" s="5">
        <v>700</v>
      </c>
      <c r="C10" s="5">
        <v>1000</v>
      </c>
      <c r="D10" s="5">
        <v>8.4</v>
      </c>
      <c r="E10" s="5"/>
      <c r="F10" s="6">
        <v>500</v>
      </c>
      <c r="G10" s="6">
        <v>205</v>
      </c>
      <c r="H10" s="6">
        <v>0</v>
      </c>
      <c r="I10" s="6">
        <v>205</v>
      </c>
      <c r="J10" s="5">
        <v>8.6</v>
      </c>
      <c r="K10" s="5">
        <v>650</v>
      </c>
      <c r="L10" s="5">
        <v>24</v>
      </c>
    </row>
    <row r="11" spans="1:12" x14ac:dyDescent="0.25">
      <c r="A11" s="3"/>
      <c r="B11" s="3">
        <v>800</v>
      </c>
      <c r="C11" s="3">
        <v>1000</v>
      </c>
      <c r="D11" s="3">
        <v>8.4</v>
      </c>
      <c r="E11" s="8">
        <v>8.8699999999999992</v>
      </c>
      <c r="F11" s="9">
        <v>44.7</v>
      </c>
      <c r="G11" s="9">
        <v>232</v>
      </c>
      <c r="H11" s="9">
        <v>0</v>
      </c>
      <c r="I11" s="9">
        <v>232</v>
      </c>
      <c r="J11" s="8">
        <v>9.8699999999999992</v>
      </c>
      <c r="K11" s="10">
        <v>746</v>
      </c>
      <c r="L11" s="9">
        <v>24.1</v>
      </c>
    </row>
    <row r="12" spans="1:12" x14ac:dyDescent="0.25">
      <c r="A12" s="3"/>
      <c r="B12" s="3">
        <v>850</v>
      </c>
      <c r="C12" s="3">
        <v>1000</v>
      </c>
      <c r="D12" s="3">
        <v>8.4</v>
      </c>
      <c r="E12" s="8">
        <v>8.07</v>
      </c>
      <c r="F12" s="9">
        <v>29.8</v>
      </c>
      <c r="G12" s="9">
        <v>249</v>
      </c>
      <c r="H12" s="9">
        <v>0</v>
      </c>
      <c r="I12" s="9">
        <v>249</v>
      </c>
      <c r="J12" s="8">
        <v>10.55</v>
      </c>
      <c r="K12" s="10">
        <v>774</v>
      </c>
      <c r="L12" s="9">
        <v>24</v>
      </c>
    </row>
    <row r="13" spans="1:12" x14ac:dyDescent="0.25">
      <c r="A13" s="3"/>
      <c r="B13" s="3">
        <v>900</v>
      </c>
      <c r="C13" s="3">
        <v>1000</v>
      </c>
      <c r="D13" s="3">
        <v>8.4</v>
      </c>
      <c r="E13" s="8">
        <v>7.4</v>
      </c>
      <c r="F13" s="9">
        <v>19.899999999999999</v>
      </c>
      <c r="G13" s="9">
        <v>255.1</v>
      </c>
      <c r="H13" s="9">
        <v>0</v>
      </c>
      <c r="I13" s="9">
        <v>255.1</v>
      </c>
      <c r="J13" s="8">
        <v>11.07</v>
      </c>
      <c r="K13" s="10">
        <v>832</v>
      </c>
      <c r="L13" s="9">
        <v>24.5</v>
      </c>
    </row>
    <row r="14" spans="1:12" x14ac:dyDescent="0.25">
      <c r="A14" s="3"/>
      <c r="B14" s="3">
        <v>930</v>
      </c>
      <c r="C14" s="3">
        <v>1000</v>
      </c>
      <c r="D14" s="3">
        <v>8.4</v>
      </c>
      <c r="E14" s="8">
        <v>7.02</v>
      </c>
      <c r="F14" s="9">
        <v>21.1</v>
      </c>
      <c r="G14" s="9">
        <v>254.4</v>
      </c>
      <c r="H14" s="9">
        <v>0</v>
      </c>
      <c r="I14" s="9">
        <v>254.4</v>
      </c>
      <c r="J14" s="8">
        <v>11.29</v>
      </c>
      <c r="K14" s="10">
        <v>848</v>
      </c>
      <c r="L14" s="9">
        <v>24.6</v>
      </c>
    </row>
    <row r="15" spans="1:12" x14ac:dyDescent="0.25">
      <c r="A15" s="3"/>
      <c r="B15" s="3">
        <v>1050</v>
      </c>
      <c r="C15" s="3">
        <v>1000</v>
      </c>
      <c r="D15" s="3">
        <v>8.4</v>
      </c>
      <c r="E15" s="8">
        <v>5.2</v>
      </c>
      <c r="F15" s="9">
        <v>21.1</v>
      </c>
      <c r="G15" s="9">
        <v>289.3</v>
      </c>
      <c r="H15" s="9">
        <v>0</v>
      </c>
      <c r="I15" s="9">
        <v>289.3</v>
      </c>
      <c r="J15" s="8">
        <v>12.76</v>
      </c>
      <c r="K15" s="10">
        <v>989</v>
      </c>
      <c r="L15" s="9">
        <v>24.4</v>
      </c>
    </row>
    <row r="16" spans="1:12" x14ac:dyDescent="0.25">
      <c r="A16" s="3"/>
      <c r="B16" s="3">
        <v>1080</v>
      </c>
      <c r="C16" s="3">
        <v>1000</v>
      </c>
      <c r="D16" s="3">
        <v>8.4</v>
      </c>
      <c r="E16" s="8">
        <v>4.63</v>
      </c>
      <c r="F16" s="9">
        <v>19.7</v>
      </c>
      <c r="G16" s="9">
        <v>297.60000000000002</v>
      </c>
      <c r="H16" s="9">
        <v>0</v>
      </c>
      <c r="I16" s="9">
        <v>297.60000000000002</v>
      </c>
      <c r="J16" s="8">
        <v>13.3</v>
      </c>
      <c r="K16" s="10">
        <v>1006</v>
      </c>
      <c r="L16" s="9">
        <v>24.4</v>
      </c>
    </row>
    <row r="17" spans="1:12" x14ac:dyDescent="0.25">
      <c r="A17" s="5"/>
      <c r="B17" s="5">
        <v>1100</v>
      </c>
      <c r="C17" s="5">
        <v>1000</v>
      </c>
      <c r="D17" s="5">
        <v>8.4</v>
      </c>
      <c r="E17" s="5">
        <v>3.78</v>
      </c>
      <c r="F17" s="6">
        <v>18</v>
      </c>
      <c r="G17" s="6">
        <v>300</v>
      </c>
      <c r="H17" s="6">
        <v>0</v>
      </c>
      <c r="I17" s="6">
        <v>300</v>
      </c>
      <c r="J17" s="5">
        <v>13.6</v>
      </c>
      <c r="K17" s="5">
        <v>1031</v>
      </c>
      <c r="L17" s="5">
        <v>24.4</v>
      </c>
    </row>
    <row r="18" spans="1:12" x14ac:dyDescent="0.25">
      <c r="A18" s="5"/>
      <c r="B18" s="5">
        <v>850</v>
      </c>
      <c r="C18" s="5">
        <v>1400</v>
      </c>
      <c r="D18" s="5">
        <v>11.3</v>
      </c>
      <c r="E18" s="5"/>
      <c r="F18" s="6">
        <v>500</v>
      </c>
      <c r="G18" s="6">
        <v>220</v>
      </c>
      <c r="H18" s="6">
        <v>0</v>
      </c>
      <c r="I18" s="6">
        <v>220</v>
      </c>
      <c r="J18" s="5">
        <v>9.1</v>
      </c>
      <c r="K18" s="5">
        <v>710</v>
      </c>
      <c r="L18" s="5">
        <v>24</v>
      </c>
    </row>
    <row r="19" spans="1:12" x14ac:dyDescent="0.25">
      <c r="A19" s="3"/>
      <c r="B19" s="3">
        <v>950</v>
      </c>
      <c r="C19" s="3">
        <v>1400</v>
      </c>
      <c r="D19" s="3">
        <v>11.3</v>
      </c>
      <c r="E19" s="8">
        <v>8.11</v>
      </c>
      <c r="F19" s="9">
        <v>35.5</v>
      </c>
      <c r="G19" s="9">
        <v>249.4</v>
      </c>
      <c r="H19" s="9">
        <v>0</v>
      </c>
      <c r="I19" s="9">
        <v>249.4</v>
      </c>
      <c r="J19" s="8">
        <v>10.49</v>
      </c>
      <c r="K19" s="10">
        <v>809</v>
      </c>
      <c r="L19" s="9">
        <v>23.9</v>
      </c>
    </row>
    <row r="20" spans="1:12" x14ac:dyDescent="0.25">
      <c r="A20" s="3"/>
      <c r="B20" s="3">
        <v>1100</v>
      </c>
      <c r="C20" s="3">
        <v>1400</v>
      </c>
      <c r="D20" s="3">
        <v>11.3</v>
      </c>
      <c r="E20" s="8">
        <v>6.57</v>
      </c>
      <c r="F20" s="9">
        <v>19.100000000000001</v>
      </c>
      <c r="G20" s="9">
        <v>281.39999999999998</v>
      </c>
      <c r="H20" s="9">
        <v>0</v>
      </c>
      <c r="I20" s="9">
        <v>281.39999999999998</v>
      </c>
      <c r="J20" s="8">
        <v>11.93</v>
      </c>
      <c r="K20" s="10">
        <v>928</v>
      </c>
      <c r="L20" s="9">
        <v>24</v>
      </c>
    </row>
    <row r="21" spans="1:12" x14ac:dyDescent="0.25">
      <c r="A21" s="3"/>
      <c r="B21" s="3">
        <v>1300</v>
      </c>
      <c r="C21" s="3">
        <v>1400</v>
      </c>
      <c r="D21" s="3">
        <v>11.3</v>
      </c>
      <c r="E21" s="8">
        <v>4.55</v>
      </c>
      <c r="F21" s="9">
        <v>21.3</v>
      </c>
      <c r="G21" s="9">
        <v>294.60000000000002</v>
      </c>
      <c r="H21" s="9">
        <v>0</v>
      </c>
      <c r="I21" s="9">
        <v>294.60000000000002</v>
      </c>
      <c r="J21" s="8">
        <v>13.33</v>
      </c>
      <c r="K21" s="10">
        <v>1030</v>
      </c>
      <c r="L21" s="9">
        <v>24.6</v>
      </c>
    </row>
    <row r="22" spans="1:12" x14ac:dyDescent="0.25">
      <c r="A22" s="5"/>
      <c r="B22" s="5">
        <v>1350</v>
      </c>
      <c r="C22" s="5">
        <v>1400</v>
      </c>
      <c r="D22" s="5">
        <v>11.3</v>
      </c>
      <c r="E22" s="5">
        <v>4</v>
      </c>
      <c r="F22" s="6">
        <v>20</v>
      </c>
      <c r="G22" s="6">
        <v>300</v>
      </c>
      <c r="H22" s="6">
        <v>0</v>
      </c>
      <c r="I22" s="6">
        <v>300</v>
      </c>
      <c r="J22" s="5">
        <v>13.6</v>
      </c>
      <c r="K22" s="5">
        <v>1060</v>
      </c>
      <c r="L22" s="5">
        <v>24.6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0FD7-956E-4D72-B165-ED6C3E2D9EF4}">
  <dimension ref="A1:L27"/>
  <sheetViews>
    <sheetView workbookViewId="0">
      <selection activeCell="K26" sqref="K26"/>
    </sheetView>
  </sheetViews>
  <sheetFormatPr defaultRowHeight="15" x14ac:dyDescent="0.25"/>
  <cols>
    <col min="1" max="1" width="10.5703125" customWidth="1"/>
    <col min="2" max="11" width="7.85546875" customWidth="1"/>
  </cols>
  <sheetData>
    <row r="1" spans="1:12" ht="30" x14ac:dyDescent="0.25">
      <c r="A1" s="1" t="s">
        <v>0</v>
      </c>
      <c r="B1" s="1" t="s">
        <v>40</v>
      </c>
      <c r="C1" s="1" t="s">
        <v>50</v>
      </c>
      <c r="D1" s="1" t="s">
        <v>51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2" t="s">
        <v>125</v>
      </c>
      <c r="K1" s="1" t="s">
        <v>126</v>
      </c>
      <c r="L1" s="1" t="s">
        <v>127</v>
      </c>
    </row>
    <row r="2" spans="1:12" x14ac:dyDescent="0.25">
      <c r="A2" s="5"/>
      <c r="B2" s="5">
        <v>500</v>
      </c>
      <c r="C2" s="5">
        <v>600</v>
      </c>
      <c r="D2" s="5">
        <v>4.5999999999999996</v>
      </c>
      <c r="E2" s="5"/>
      <c r="F2" s="6">
        <v>500</v>
      </c>
      <c r="G2" s="6">
        <v>110</v>
      </c>
      <c r="H2" s="6">
        <v>0</v>
      </c>
      <c r="I2" s="6">
        <v>140</v>
      </c>
      <c r="J2" s="5">
        <v>5.8</v>
      </c>
      <c r="K2" s="5"/>
      <c r="L2" s="5"/>
    </row>
    <row r="3" spans="1:12" x14ac:dyDescent="0.25">
      <c r="A3" s="3"/>
      <c r="B3" s="3">
        <v>600</v>
      </c>
      <c r="C3" s="3">
        <v>600</v>
      </c>
      <c r="D3" s="3">
        <v>4.5</v>
      </c>
      <c r="E3" s="8">
        <v>11.27</v>
      </c>
      <c r="F3" s="9">
        <v>74.5</v>
      </c>
      <c r="G3" s="9">
        <v>144.30000000000001</v>
      </c>
      <c r="H3" s="9">
        <v>0</v>
      </c>
      <c r="I3" s="9">
        <v>144.30000000000001</v>
      </c>
      <c r="J3" s="8">
        <v>7.89</v>
      </c>
      <c r="K3" s="10">
        <v>576</v>
      </c>
      <c r="L3" s="9">
        <v>25.1</v>
      </c>
    </row>
    <row r="4" spans="1:12" x14ac:dyDescent="0.25">
      <c r="A4" s="3"/>
      <c r="B4" s="3">
        <v>650</v>
      </c>
      <c r="C4" s="3">
        <v>600</v>
      </c>
      <c r="D4" s="3">
        <v>4.5</v>
      </c>
      <c r="E4" s="8">
        <v>10.29</v>
      </c>
      <c r="F4" s="9">
        <v>36.5</v>
      </c>
      <c r="G4" s="9">
        <v>160.30000000000001</v>
      </c>
      <c r="H4" s="9">
        <v>0</v>
      </c>
      <c r="I4" s="9">
        <v>160.30000000000001</v>
      </c>
      <c r="J4" s="8">
        <v>8.75</v>
      </c>
      <c r="K4" s="10">
        <v>632</v>
      </c>
      <c r="L4" s="9">
        <v>25.2</v>
      </c>
    </row>
    <row r="5" spans="1:12" x14ac:dyDescent="0.25">
      <c r="A5" s="3"/>
      <c r="B5" s="3">
        <v>730</v>
      </c>
      <c r="C5" s="3">
        <v>600</v>
      </c>
      <c r="D5" s="3">
        <v>4.5</v>
      </c>
      <c r="E5" s="8">
        <v>7.39</v>
      </c>
      <c r="F5" s="9">
        <v>10.199999999999999</v>
      </c>
      <c r="G5" s="9">
        <v>177.9</v>
      </c>
      <c r="H5" s="9">
        <v>0</v>
      </c>
      <c r="I5" s="9">
        <v>177.9</v>
      </c>
      <c r="J5" s="8">
        <v>9.82</v>
      </c>
      <c r="K5" s="10">
        <v>543</v>
      </c>
      <c r="L5" s="9">
        <v>23.9</v>
      </c>
    </row>
    <row r="6" spans="1:12" x14ac:dyDescent="0.25">
      <c r="A6" s="3"/>
      <c r="B6" s="3">
        <v>800</v>
      </c>
      <c r="C6" s="3">
        <v>600</v>
      </c>
      <c r="D6" s="3">
        <v>4.5999999999999996</v>
      </c>
      <c r="E6" s="8">
        <v>6.61</v>
      </c>
      <c r="F6" s="9">
        <v>11.6</v>
      </c>
      <c r="G6" s="9">
        <v>192.4</v>
      </c>
      <c r="H6" s="9">
        <v>0</v>
      </c>
      <c r="I6" s="9">
        <v>192.4</v>
      </c>
      <c r="J6" s="8">
        <v>11.62</v>
      </c>
      <c r="K6" s="10">
        <v>831</v>
      </c>
      <c r="L6" s="9">
        <v>25.8</v>
      </c>
    </row>
    <row r="7" spans="1:12" x14ac:dyDescent="0.25">
      <c r="A7" s="3"/>
      <c r="B7" s="3">
        <v>880</v>
      </c>
      <c r="C7" s="3">
        <v>600</v>
      </c>
      <c r="D7" s="3">
        <v>4.5</v>
      </c>
      <c r="E7" s="8">
        <v>5.39</v>
      </c>
      <c r="F7" s="9">
        <v>16.3</v>
      </c>
      <c r="G7" s="9">
        <v>203.5</v>
      </c>
      <c r="H7" s="9">
        <v>0</v>
      </c>
      <c r="I7" s="9">
        <v>203.5</v>
      </c>
      <c r="J7" s="8">
        <v>12.53</v>
      </c>
      <c r="K7" s="10">
        <v>925</v>
      </c>
      <c r="L7" s="9">
        <v>25.8</v>
      </c>
    </row>
    <row r="8" spans="1:12" x14ac:dyDescent="0.25">
      <c r="A8" s="3"/>
      <c r="B8" s="3">
        <v>930</v>
      </c>
      <c r="C8" s="3">
        <v>600</v>
      </c>
      <c r="D8" s="3">
        <v>4.5</v>
      </c>
      <c r="E8" s="8">
        <v>3.46</v>
      </c>
      <c r="F8" s="9">
        <v>23.3</v>
      </c>
      <c r="G8" s="9">
        <v>212</v>
      </c>
      <c r="H8" s="9">
        <v>0</v>
      </c>
      <c r="I8" s="9">
        <v>212</v>
      </c>
      <c r="J8" s="8">
        <v>14.17</v>
      </c>
      <c r="K8" s="10">
        <v>1008</v>
      </c>
      <c r="L8" s="9">
        <v>26</v>
      </c>
    </row>
    <row r="9" spans="1:12" x14ac:dyDescent="0.25">
      <c r="A9" s="3"/>
      <c r="B9" s="7">
        <v>950</v>
      </c>
      <c r="C9" s="7">
        <v>600</v>
      </c>
      <c r="D9" s="7">
        <v>4.5999999999999996</v>
      </c>
      <c r="E9" s="8">
        <v>2.5099999999999998</v>
      </c>
      <c r="F9" s="9">
        <v>38.9</v>
      </c>
      <c r="G9" s="9">
        <v>219.7</v>
      </c>
      <c r="H9" s="9">
        <v>0</v>
      </c>
      <c r="I9" s="9">
        <v>219.7</v>
      </c>
      <c r="J9" s="8">
        <v>15.07</v>
      </c>
      <c r="K9" s="10">
        <v>1069</v>
      </c>
      <c r="L9" s="9">
        <v>26</v>
      </c>
    </row>
    <row r="10" spans="1:12" x14ac:dyDescent="0.25">
      <c r="A10" s="5"/>
      <c r="B10" s="5">
        <v>1000</v>
      </c>
      <c r="C10" s="5">
        <v>600</v>
      </c>
      <c r="D10" s="5">
        <v>4.5</v>
      </c>
      <c r="E10" s="5"/>
      <c r="F10" s="6">
        <v>500</v>
      </c>
      <c r="G10" s="6">
        <v>225</v>
      </c>
      <c r="H10" s="6">
        <v>0</v>
      </c>
      <c r="I10" s="6">
        <v>225</v>
      </c>
      <c r="J10" s="5">
        <v>15.5</v>
      </c>
      <c r="K10" s="5"/>
      <c r="L10" s="5"/>
    </row>
    <row r="11" spans="1:12" x14ac:dyDescent="0.25">
      <c r="A11" s="5"/>
      <c r="B11" s="5">
        <v>600</v>
      </c>
      <c r="C11" s="5">
        <v>1000</v>
      </c>
      <c r="D11" s="5">
        <v>8.4</v>
      </c>
      <c r="E11" s="5"/>
      <c r="F11" s="6">
        <v>500</v>
      </c>
      <c r="G11" s="6">
        <v>130</v>
      </c>
      <c r="H11" s="6">
        <v>0</v>
      </c>
      <c r="I11" s="6">
        <v>150</v>
      </c>
      <c r="J11" s="5">
        <v>7</v>
      </c>
      <c r="K11" s="5"/>
      <c r="L11" s="5"/>
    </row>
    <row r="12" spans="1:12" x14ac:dyDescent="0.25">
      <c r="A12" s="3"/>
      <c r="B12" s="3">
        <v>650</v>
      </c>
      <c r="C12" s="3">
        <v>1000</v>
      </c>
      <c r="D12" s="3">
        <v>8.4</v>
      </c>
      <c r="E12" s="8">
        <v>9.98</v>
      </c>
      <c r="F12" s="9">
        <v>29.4</v>
      </c>
      <c r="G12" s="9">
        <v>156.69999999999999</v>
      </c>
      <c r="H12" s="9">
        <v>0</v>
      </c>
      <c r="I12" s="9">
        <v>156.69999999999999</v>
      </c>
      <c r="J12" s="8">
        <v>9.1300000000000008</v>
      </c>
      <c r="K12" s="10">
        <v>718</v>
      </c>
      <c r="L12" s="9">
        <v>27.5</v>
      </c>
    </row>
    <row r="13" spans="1:12" x14ac:dyDescent="0.25">
      <c r="A13" s="3"/>
      <c r="B13" s="3">
        <v>700</v>
      </c>
      <c r="C13" s="3">
        <v>1000</v>
      </c>
      <c r="D13" s="3">
        <v>8.4</v>
      </c>
      <c r="E13" s="8">
        <v>9.26</v>
      </c>
      <c r="F13" s="9">
        <v>27.7</v>
      </c>
      <c r="G13" s="9">
        <v>178.3</v>
      </c>
      <c r="H13" s="9">
        <v>0</v>
      </c>
      <c r="I13" s="9">
        <v>178.3</v>
      </c>
      <c r="J13" s="8">
        <v>9.7200000000000006</v>
      </c>
      <c r="K13" s="10">
        <v>782</v>
      </c>
      <c r="L13" s="9">
        <v>26.1</v>
      </c>
    </row>
    <row r="14" spans="1:12" x14ac:dyDescent="0.25">
      <c r="A14" s="3"/>
      <c r="B14" s="3">
        <v>800</v>
      </c>
      <c r="C14" s="3">
        <v>1000</v>
      </c>
      <c r="D14" s="3">
        <v>8.4</v>
      </c>
      <c r="E14" s="8">
        <v>8.14</v>
      </c>
      <c r="F14" s="9">
        <v>28.1</v>
      </c>
      <c r="G14" s="9">
        <v>185.6</v>
      </c>
      <c r="H14" s="9">
        <v>0</v>
      </c>
      <c r="I14" s="9">
        <v>185.6</v>
      </c>
      <c r="J14" s="8">
        <v>10.35</v>
      </c>
      <c r="K14" s="10">
        <v>803</v>
      </c>
      <c r="L14" s="9">
        <v>25.7</v>
      </c>
    </row>
    <row r="15" spans="1:12" x14ac:dyDescent="0.25">
      <c r="A15" s="3"/>
      <c r="B15" s="3">
        <v>900</v>
      </c>
      <c r="C15" s="3">
        <v>1000</v>
      </c>
      <c r="D15" s="3">
        <v>8.4</v>
      </c>
      <c r="E15" s="8">
        <v>6.17</v>
      </c>
      <c r="F15" s="9">
        <v>23.1</v>
      </c>
      <c r="G15" s="9">
        <v>208</v>
      </c>
      <c r="H15" s="9">
        <v>0</v>
      </c>
      <c r="I15" s="9">
        <v>208</v>
      </c>
      <c r="J15" s="8">
        <v>11.99</v>
      </c>
      <c r="K15" s="10">
        <v>878</v>
      </c>
      <c r="L15" s="9">
        <v>25.7</v>
      </c>
    </row>
    <row r="16" spans="1:12" x14ac:dyDescent="0.25">
      <c r="A16" s="3"/>
      <c r="B16" s="3">
        <v>1000</v>
      </c>
      <c r="C16" s="3">
        <v>1000</v>
      </c>
      <c r="D16" s="3">
        <v>8.4</v>
      </c>
      <c r="E16" s="8">
        <v>4.2300000000000004</v>
      </c>
      <c r="F16" s="9">
        <v>26</v>
      </c>
      <c r="G16" s="9">
        <v>225</v>
      </c>
      <c r="H16" s="9">
        <v>0</v>
      </c>
      <c r="I16" s="9">
        <v>225</v>
      </c>
      <c r="J16" s="8">
        <v>13.65</v>
      </c>
      <c r="K16" s="10">
        <v>999</v>
      </c>
      <c r="L16" s="9">
        <v>25.8</v>
      </c>
    </row>
    <row r="17" spans="1:12" x14ac:dyDescent="0.25">
      <c r="A17" s="3"/>
      <c r="B17" s="3">
        <v>1100</v>
      </c>
      <c r="C17" s="3">
        <v>1000</v>
      </c>
      <c r="D17" s="3">
        <v>8.4</v>
      </c>
      <c r="E17" s="8">
        <v>2.19</v>
      </c>
      <c r="F17" s="9">
        <v>45.5</v>
      </c>
      <c r="G17" s="9">
        <v>244.4</v>
      </c>
      <c r="H17" s="9">
        <v>0</v>
      </c>
      <c r="I17" s="9">
        <v>244.4</v>
      </c>
      <c r="J17" s="8">
        <v>15.26</v>
      </c>
      <c r="K17" s="10">
        <v>1096</v>
      </c>
      <c r="L17" s="9">
        <v>26</v>
      </c>
    </row>
    <row r="18" spans="1:12" x14ac:dyDescent="0.25">
      <c r="A18" s="5"/>
      <c r="B18" s="5">
        <v>1200</v>
      </c>
      <c r="C18" s="5">
        <v>1000</v>
      </c>
      <c r="D18" s="5">
        <v>8.4</v>
      </c>
      <c r="E18" s="5"/>
      <c r="F18" s="6">
        <v>500</v>
      </c>
      <c r="G18" s="6">
        <v>250</v>
      </c>
      <c r="H18" s="6">
        <v>0</v>
      </c>
      <c r="I18" s="6">
        <v>250</v>
      </c>
      <c r="J18" s="5">
        <v>15.5</v>
      </c>
      <c r="K18" s="5"/>
      <c r="L18" s="5"/>
    </row>
    <row r="19" spans="1:12" x14ac:dyDescent="0.25">
      <c r="A19" s="5"/>
      <c r="B19" s="5">
        <v>700</v>
      </c>
      <c r="C19" s="5">
        <v>1400</v>
      </c>
      <c r="D19" s="5">
        <v>11.3</v>
      </c>
      <c r="E19" s="5"/>
      <c r="F19" s="6">
        <v>500</v>
      </c>
      <c r="G19" s="6">
        <v>135</v>
      </c>
      <c r="H19" s="6">
        <v>0</v>
      </c>
      <c r="I19" s="6">
        <v>150</v>
      </c>
      <c r="J19" s="5">
        <v>6.5</v>
      </c>
      <c r="K19" s="5"/>
      <c r="L19" s="5"/>
    </row>
    <row r="20" spans="1:12" x14ac:dyDescent="0.25">
      <c r="A20" s="3"/>
      <c r="B20" s="3">
        <v>800</v>
      </c>
      <c r="C20" s="3">
        <v>1400</v>
      </c>
      <c r="D20" s="3">
        <v>11.3</v>
      </c>
      <c r="E20" s="3">
        <v>10.43</v>
      </c>
      <c r="F20" s="11">
        <v>70</v>
      </c>
      <c r="G20" s="12">
        <v>160.30000000000001</v>
      </c>
      <c r="H20" s="12">
        <v>0</v>
      </c>
      <c r="I20" s="12">
        <v>160.30000000000001</v>
      </c>
      <c r="J20" s="13">
        <v>7.89</v>
      </c>
      <c r="K20" s="14">
        <v>600</v>
      </c>
      <c r="L20" s="15">
        <v>27.2</v>
      </c>
    </row>
    <row r="21" spans="1:12" x14ac:dyDescent="0.25">
      <c r="A21" s="3"/>
      <c r="B21" s="3">
        <v>900</v>
      </c>
      <c r="C21" s="3">
        <v>1400</v>
      </c>
      <c r="D21" s="3">
        <v>11.3</v>
      </c>
      <c r="E21" s="3">
        <v>9.5</v>
      </c>
      <c r="F21" s="11">
        <v>42</v>
      </c>
      <c r="G21" s="12">
        <v>177.9</v>
      </c>
      <c r="H21" s="12">
        <v>0</v>
      </c>
      <c r="I21" s="12">
        <v>177.9</v>
      </c>
      <c r="J21" s="13">
        <v>8.75</v>
      </c>
      <c r="K21" s="14">
        <v>650</v>
      </c>
      <c r="L21" s="15">
        <v>27.2</v>
      </c>
    </row>
    <row r="22" spans="1:12" x14ac:dyDescent="0.25">
      <c r="A22" s="3"/>
      <c r="B22" s="3">
        <v>1050</v>
      </c>
      <c r="C22" s="3">
        <v>1400</v>
      </c>
      <c r="D22" s="3">
        <v>11.3</v>
      </c>
      <c r="E22" s="3">
        <v>8.2200000000000006</v>
      </c>
      <c r="F22" s="11">
        <v>31</v>
      </c>
      <c r="G22" s="12">
        <v>192.4</v>
      </c>
      <c r="H22" s="12">
        <v>0</v>
      </c>
      <c r="I22" s="12">
        <v>192.4</v>
      </c>
      <c r="J22" s="13">
        <v>9.82</v>
      </c>
      <c r="K22" s="14">
        <v>750</v>
      </c>
      <c r="L22" s="15">
        <v>27.2</v>
      </c>
    </row>
    <row r="23" spans="1:12" x14ac:dyDescent="0.25">
      <c r="A23" s="3"/>
      <c r="B23" s="3">
        <v>1100</v>
      </c>
      <c r="C23" s="3">
        <v>1400</v>
      </c>
      <c r="D23" s="3">
        <v>11.6</v>
      </c>
      <c r="E23" s="8">
        <v>7.04</v>
      </c>
      <c r="F23" s="9">
        <v>19.8</v>
      </c>
      <c r="G23" s="9">
        <v>201.3</v>
      </c>
      <c r="H23" s="9">
        <v>0</v>
      </c>
      <c r="I23" s="9">
        <v>201.3</v>
      </c>
      <c r="J23" s="8">
        <v>11.35</v>
      </c>
      <c r="K23" s="10">
        <v>895</v>
      </c>
      <c r="L23" s="9">
        <v>270.2</v>
      </c>
    </row>
    <row r="24" spans="1:12" x14ac:dyDescent="0.25">
      <c r="A24" s="3"/>
      <c r="B24" s="3">
        <v>1200</v>
      </c>
      <c r="C24" s="3">
        <v>1400</v>
      </c>
      <c r="D24" s="3">
        <v>11.6</v>
      </c>
      <c r="E24" s="8">
        <v>5.25</v>
      </c>
      <c r="F24" s="9">
        <v>23.5</v>
      </c>
      <c r="G24" s="9">
        <v>220.6</v>
      </c>
      <c r="H24" s="9">
        <v>0</v>
      </c>
      <c r="I24" s="9">
        <v>220.6</v>
      </c>
      <c r="J24" s="8">
        <v>12.74</v>
      </c>
      <c r="K24" s="10">
        <v>977</v>
      </c>
      <c r="L24" s="9">
        <v>27.3</v>
      </c>
    </row>
    <row r="25" spans="1:12" x14ac:dyDescent="0.25">
      <c r="A25" s="3"/>
      <c r="B25" s="3">
        <v>1270</v>
      </c>
      <c r="C25" s="3">
        <v>1400</v>
      </c>
      <c r="D25" s="3">
        <v>11.6</v>
      </c>
      <c r="E25" s="8">
        <v>4.54</v>
      </c>
      <c r="F25" s="9">
        <v>26</v>
      </c>
      <c r="G25" s="9">
        <v>221.7</v>
      </c>
      <c r="H25" s="9">
        <v>0</v>
      </c>
      <c r="I25" s="9">
        <v>221.7</v>
      </c>
      <c r="J25" s="8">
        <v>13.54</v>
      </c>
      <c r="K25" s="10">
        <v>1021</v>
      </c>
      <c r="L25" s="9">
        <v>27.5</v>
      </c>
    </row>
    <row r="26" spans="1:12" x14ac:dyDescent="0.25">
      <c r="A26" s="3"/>
      <c r="B26" s="3">
        <v>1400</v>
      </c>
      <c r="C26" s="3">
        <v>1400</v>
      </c>
      <c r="D26" s="3">
        <v>11.3</v>
      </c>
      <c r="E26" s="8">
        <v>2.2000000000000002</v>
      </c>
      <c r="F26" s="9">
        <v>41</v>
      </c>
      <c r="G26" s="9">
        <v>244.8</v>
      </c>
      <c r="H26" s="9">
        <v>0</v>
      </c>
      <c r="I26" s="9">
        <v>244.8</v>
      </c>
      <c r="J26" s="8">
        <v>15.43</v>
      </c>
      <c r="K26" s="10">
        <v>1134</v>
      </c>
      <c r="L26" s="9">
        <v>27.7</v>
      </c>
    </row>
    <row r="27" spans="1:12" x14ac:dyDescent="0.25">
      <c r="A27" s="5"/>
      <c r="B27" s="5">
        <v>1450</v>
      </c>
      <c r="C27" s="5">
        <v>1400</v>
      </c>
      <c r="D27" s="5">
        <v>11.3</v>
      </c>
      <c r="E27" s="5"/>
      <c r="F27" s="6">
        <v>500</v>
      </c>
      <c r="G27" s="6">
        <v>250</v>
      </c>
      <c r="H27" s="6">
        <v>0</v>
      </c>
      <c r="I27" s="6">
        <v>250</v>
      </c>
      <c r="J27" s="5">
        <v>15.6</v>
      </c>
      <c r="K27" s="5"/>
      <c r="L2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A65-C121-48B7-B0B6-69102F27028D}">
  <dimension ref="A1:K20"/>
  <sheetViews>
    <sheetView workbookViewId="0">
      <selection activeCell="L17" sqref="L17"/>
    </sheetView>
  </sheetViews>
  <sheetFormatPr defaultRowHeight="15" x14ac:dyDescent="0.25"/>
  <sheetData>
    <row r="1" spans="1:11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B2">
        <v>830</v>
      </c>
      <c r="C2">
        <v>792.20905682233263</v>
      </c>
      <c r="D2">
        <v>6.8</v>
      </c>
      <c r="E2">
        <v>2.1</v>
      </c>
      <c r="F2">
        <v>237.4</v>
      </c>
      <c r="G2">
        <v>0</v>
      </c>
      <c r="H2">
        <v>237.4</v>
      </c>
      <c r="I2">
        <v>11.55</v>
      </c>
      <c r="J2">
        <v>845</v>
      </c>
      <c r="K2">
        <v>24.3</v>
      </c>
    </row>
    <row r="3" spans="1:11" x14ac:dyDescent="0.25">
      <c r="B3">
        <v>700</v>
      </c>
      <c r="C3">
        <v>792.20905682233263</v>
      </c>
      <c r="D3">
        <v>9.3000000000000007</v>
      </c>
      <c r="E3">
        <v>13.1</v>
      </c>
      <c r="F3">
        <v>200.2</v>
      </c>
      <c r="G3">
        <v>0</v>
      </c>
      <c r="H3">
        <v>200.2</v>
      </c>
      <c r="I3">
        <v>9.51</v>
      </c>
      <c r="J3">
        <v>695</v>
      </c>
      <c r="K3">
        <v>23.2</v>
      </c>
    </row>
    <row r="4" spans="1:11" x14ac:dyDescent="0.25">
      <c r="B4">
        <v>600</v>
      </c>
      <c r="C4">
        <v>792.20905682233263</v>
      </c>
      <c r="D4">
        <v>10.84</v>
      </c>
      <c r="E4">
        <v>59.1</v>
      </c>
      <c r="F4">
        <v>173.5</v>
      </c>
      <c r="G4">
        <v>0</v>
      </c>
      <c r="H4">
        <v>173.5</v>
      </c>
      <c r="I4">
        <v>8.35</v>
      </c>
      <c r="J4">
        <v>621</v>
      </c>
      <c r="K4">
        <v>22.5</v>
      </c>
    </row>
    <row r="5" spans="1:11" x14ac:dyDescent="0.25">
      <c r="A5" t="s">
        <v>39</v>
      </c>
      <c r="B5">
        <v>500</v>
      </c>
      <c r="C5">
        <v>792.20905682233263</v>
      </c>
      <c r="E5">
        <v>1000</v>
      </c>
      <c r="F5">
        <v>155</v>
      </c>
      <c r="G5">
        <v>0</v>
      </c>
      <c r="H5">
        <v>155</v>
      </c>
      <c r="I5">
        <v>7.5</v>
      </c>
      <c r="K5">
        <v>22.5</v>
      </c>
    </row>
    <row r="6" spans="1:11" x14ac:dyDescent="0.25">
      <c r="B6">
        <v>930</v>
      </c>
      <c r="C6">
        <v>792.20905682233263</v>
      </c>
      <c r="D6">
        <v>3.63</v>
      </c>
      <c r="E6">
        <v>0</v>
      </c>
      <c r="F6">
        <v>296.7</v>
      </c>
      <c r="G6">
        <v>0</v>
      </c>
      <c r="H6">
        <v>296.7</v>
      </c>
      <c r="I6">
        <v>14.02</v>
      </c>
      <c r="J6">
        <v>1064</v>
      </c>
      <c r="K6">
        <v>23.4</v>
      </c>
    </row>
    <row r="7" spans="1:11" x14ac:dyDescent="0.25">
      <c r="B7">
        <v>1000</v>
      </c>
      <c r="C7">
        <v>792.20905682233263</v>
      </c>
      <c r="E7">
        <v>1000</v>
      </c>
      <c r="F7">
        <v>310</v>
      </c>
      <c r="G7">
        <v>0</v>
      </c>
      <c r="H7">
        <v>310</v>
      </c>
      <c r="I7">
        <v>15.5</v>
      </c>
    </row>
    <row r="8" spans="1:11" x14ac:dyDescent="0.25">
      <c r="A8" t="s">
        <v>157</v>
      </c>
      <c r="B8">
        <v>1000</v>
      </c>
      <c r="C8">
        <v>1036.3773131171936</v>
      </c>
      <c r="D8">
        <v>4.49</v>
      </c>
      <c r="E8">
        <v>0.2</v>
      </c>
      <c r="F8">
        <v>320</v>
      </c>
      <c r="G8">
        <v>0</v>
      </c>
      <c r="H8">
        <v>320</v>
      </c>
      <c r="I8">
        <v>13.42</v>
      </c>
      <c r="J8">
        <v>989</v>
      </c>
      <c r="K8">
        <v>23.3</v>
      </c>
    </row>
    <row r="9" spans="1:11" x14ac:dyDescent="0.25">
      <c r="B9">
        <v>930</v>
      </c>
      <c r="C9">
        <v>1036.3773131171936</v>
      </c>
      <c r="D9">
        <v>6.8</v>
      </c>
      <c r="E9">
        <v>2.4</v>
      </c>
      <c r="F9">
        <v>267.3</v>
      </c>
      <c r="G9">
        <v>0</v>
      </c>
      <c r="H9">
        <v>267.3</v>
      </c>
      <c r="I9">
        <v>11.55</v>
      </c>
      <c r="J9">
        <v>886</v>
      </c>
      <c r="K9">
        <v>23.1</v>
      </c>
    </row>
    <row r="10" spans="1:11" x14ac:dyDescent="0.25">
      <c r="B10">
        <v>800</v>
      </c>
      <c r="C10">
        <v>1036.3773131171936</v>
      </c>
      <c r="D10">
        <v>9.32</v>
      </c>
      <c r="E10">
        <v>5.4</v>
      </c>
      <c r="F10">
        <v>211.6</v>
      </c>
      <c r="G10">
        <v>0</v>
      </c>
      <c r="H10">
        <v>211.6</v>
      </c>
      <c r="I10">
        <v>9.64</v>
      </c>
      <c r="J10">
        <v>742</v>
      </c>
      <c r="K10">
        <v>23.4</v>
      </c>
    </row>
    <row r="11" spans="1:11" x14ac:dyDescent="0.25">
      <c r="B11">
        <v>900</v>
      </c>
      <c r="C11">
        <v>1036.3773131171936</v>
      </c>
      <c r="D11">
        <v>7.24</v>
      </c>
      <c r="E11">
        <v>0</v>
      </c>
      <c r="F11">
        <v>251.5</v>
      </c>
      <c r="G11">
        <v>0</v>
      </c>
      <c r="H11">
        <v>251.5</v>
      </c>
      <c r="I11">
        <v>11.08</v>
      </c>
      <c r="J11">
        <v>841</v>
      </c>
      <c r="K11">
        <v>23.3</v>
      </c>
    </row>
    <row r="12" spans="1:11" x14ac:dyDescent="0.25">
      <c r="A12" t="s">
        <v>158</v>
      </c>
      <c r="B12">
        <v>700</v>
      </c>
      <c r="C12">
        <v>1036.3773131171936</v>
      </c>
      <c r="D12">
        <v>10.44</v>
      </c>
      <c r="E12">
        <v>17.7</v>
      </c>
      <c r="F12">
        <v>205.3</v>
      </c>
      <c r="G12">
        <v>0</v>
      </c>
      <c r="H12">
        <v>205.3</v>
      </c>
      <c r="I12">
        <v>8.82</v>
      </c>
      <c r="J12">
        <v>697</v>
      </c>
      <c r="K12">
        <v>22.6</v>
      </c>
    </row>
    <row r="13" spans="1:11" x14ac:dyDescent="0.25">
      <c r="B13">
        <v>650</v>
      </c>
      <c r="C13">
        <v>1036.3773131171936</v>
      </c>
      <c r="E13">
        <v>1000</v>
      </c>
      <c r="F13">
        <v>178</v>
      </c>
      <c r="G13">
        <v>0</v>
      </c>
      <c r="H13">
        <v>180</v>
      </c>
      <c r="I13">
        <v>7.5</v>
      </c>
    </row>
    <row r="14" spans="1:11" x14ac:dyDescent="0.25">
      <c r="B14">
        <v>400</v>
      </c>
      <c r="C14">
        <v>457.60375841815329</v>
      </c>
      <c r="E14">
        <v>1000</v>
      </c>
      <c r="F14">
        <v>200</v>
      </c>
      <c r="G14">
        <v>0</v>
      </c>
      <c r="H14">
        <v>200</v>
      </c>
      <c r="I14">
        <v>9</v>
      </c>
    </row>
    <row r="15" spans="1:11" x14ac:dyDescent="0.25">
      <c r="B15">
        <v>550</v>
      </c>
      <c r="C15">
        <v>457.60375841815329</v>
      </c>
      <c r="D15">
        <v>7.22</v>
      </c>
      <c r="E15">
        <v>6</v>
      </c>
      <c r="F15">
        <v>214.8</v>
      </c>
      <c r="G15">
        <v>0</v>
      </c>
      <c r="H15">
        <v>214.8</v>
      </c>
      <c r="I15">
        <v>11.04</v>
      </c>
      <c r="J15">
        <v>820</v>
      </c>
      <c r="K15">
        <v>20.100000000000001</v>
      </c>
    </row>
    <row r="16" spans="1:11" x14ac:dyDescent="0.25">
      <c r="B16">
        <v>600</v>
      </c>
      <c r="C16">
        <v>457.60375841815329</v>
      </c>
      <c r="D16">
        <v>5.5</v>
      </c>
      <c r="E16">
        <v>3.2</v>
      </c>
      <c r="F16">
        <v>238.7</v>
      </c>
      <c r="G16">
        <v>0</v>
      </c>
      <c r="H16">
        <v>238.7</v>
      </c>
      <c r="I16">
        <v>12.48</v>
      </c>
      <c r="J16">
        <v>940</v>
      </c>
      <c r="K16">
        <v>19.399999999999999</v>
      </c>
    </row>
    <row r="17" spans="1:11" x14ac:dyDescent="0.25">
      <c r="B17">
        <v>650</v>
      </c>
      <c r="C17">
        <v>457.60375841815329</v>
      </c>
      <c r="D17">
        <v>4.0199999999999996</v>
      </c>
      <c r="E17">
        <v>11.5</v>
      </c>
      <c r="F17">
        <v>248.1</v>
      </c>
      <c r="G17">
        <v>0</v>
      </c>
      <c r="H17">
        <v>248.1</v>
      </c>
      <c r="I17">
        <v>13.65</v>
      </c>
      <c r="J17">
        <v>1017</v>
      </c>
      <c r="K17">
        <v>18.899999999999999</v>
      </c>
    </row>
    <row r="18" spans="1:11" x14ac:dyDescent="0.25">
      <c r="B18">
        <v>680</v>
      </c>
      <c r="C18">
        <v>457.60375841815329</v>
      </c>
      <c r="D18">
        <v>3.05</v>
      </c>
      <c r="E18">
        <v>38.6</v>
      </c>
      <c r="F18">
        <v>259.2</v>
      </c>
      <c r="G18">
        <v>0</v>
      </c>
      <c r="H18">
        <v>259.2</v>
      </c>
      <c r="I18">
        <v>14.67</v>
      </c>
      <c r="J18">
        <v>1095</v>
      </c>
      <c r="K18">
        <v>18.5</v>
      </c>
    </row>
    <row r="19" spans="1:11" x14ac:dyDescent="0.25">
      <c r="B19">
        <v>750</v>
      </c>
      <c r="C19">
        <v>457.60375841815329</v>
      </c>
      <c r="E19">
        <v>1000</v>
      </c>
      <c r="F19">
        <v>270</v>
      </c>
      <c r="G19">
        <v>0</v>
      </c>
      <c r="H19">
        <v>270</v>
      </c>
      <c r="I19">
        <v>15.5</v>
      </c>
    </row>
    <row r="20" spans="1:11" x14ac:dyDescent="0.25">
      <c r="A20" t="s">
        <v>158</v>
      </c>
      <c r="B20">
        <v>500</v>
      </c>
      <c r="C20">
        <v>457.60375841815329</v>
      </c>
      <c r="D20">
        <v>9.02</v>
      </c>
      <c r="E20">
        <v>142.5</v>
      </c>
      <c r="F20">
        <v>193.2</v>
      </c>
      <c r="G20">
        <v>0</v>
      </c>
      <c r="H20">
        <v>193.2</v>
      </c>
      <c r="I20">
        <v>9.8699999999999992</v>
      </c>
      <c r="J20">
        <v>803</v>
      </c>
      <c r="K20">
        <v>17.8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9930-7C29-4183-8A23-B448A165EB5D}">
  <dimension ref="A1:K19"/>
  <sheetViews>
    <sheetView workbookViewId="0">
      <selection sqref="A1:K19"/>
    </sheetView>
  </sheetViews>
  <sheetFormatPr defaultRowHeight="15" x14ac:dyDescent="0.25"/>
  <sheetData>
    <row r="1" spans="1:11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25">
      <c r="A2">
        <v>0.6</v>
      </c>
      <c r="B2">
        <v>4.5</v>
      </c>
      <c r="C2">
        <v>0.99</v>
      </c>
      <c r="D2">
        <v>8.6556666666666668</v>
      </c>
      <c r="E2">
        <v>56.470000000000006</v>
      </c>
      <c r="F2">
        <v>22.64</v>
      </c>
      <c r="G2">
        <v>3.58</v>
      </c>
      <c r="H2">
        <v>26.219999999999992</v>
      </c>
      <c r="I2">
        <v>9.6303333333333327</v>
      </c>
      <c r="J2">
        <v>3.6333333333333333</v>
      </c>
      <c r="K2">
        <v>24.993333333333329</v>
      </c>
    </row>
    <row r="3" spans="1:11" x14ac:dyDescent="0.25">
      <c r="A3">
        <v>0.6</v>
      </c>
      <c r="B3">
        <v>4.5</v>
      </c>
      <c r="C3">
        <v>1.1100000000000001</v>
      </c>
      <c r="D3">
        <v>7.336833333333332</v>
      </c>
      <c r="E3">
        <v>29.074999999999996</v>
      </c>
      <c r="F3">
        <v>27.613333333333337</v>
      </c>
      <c r="G3">
        <v>2.9316666666666666</v>
      </c>
      <c r="H3">
        <v>30.545000000000005</v>
      </c>
      <c r="I3">
        <v>10.639999999999997</v>
      </c>
      <c r="J3">
        <v>3.7666666666666666</v>
      </c>
      <c r="K3">
        <v>24.49166666666666</v>
      </c>
    </row>
    <row r="4" spans="1:11" x14ac:dyDescent="0.25">
      <c r="A4">
        <v>0.6</v>
      </c>
      <c r="B4">
        <v>4.5</v>
      </c>
      <c r="C4">
        <v>1.32</v>
      </c>
      <c r="D4">
        <v>4.7418333333333358</v>
      </c>
      <c r="E4">
        <v>16.38666666666667</v>
      </c>
      <c r="F4">
        <v>41.320000000000014</v>
      </c>
      <c r="G4">
        <v>2.0599999999999992</v>
      </c>
      <c r="H4">
        <v>43.379999999999988</v>
      </c>
      <c r="I4">
        <v>12.571166666666658</v>
      </c>
      <c r="J4">
        <v>6.45</v>
      </c>
      <c r="K4">
        <v>25.101666666666674</v>
      </c>
    </row>
    <row r="5" spans="1:11" x14ac:dyDescent="0.25">
      <c r="A5">
        <v>0.6</v>
      </c>
      <c r="B5">
        <v>4.5</v>
      </c>
      <c r="C5">
        <v>1.44</v>
      </c>
      <c r="D5">
        <v>2.8286666666666656</v>
      </c>
      <c r="E5">
        <v>21.13333333333334</v>
      </c>
      <c r="F5">
        <v>46.868333333333347</v>
      </c>
      <c r="G5">
        <v>2.1699999999999995</v>
      </c>
      <c r="H5">
        <v>49.038333333333334</v>
      </c>
      <c r="I5">
        <v>14.063999999999989</v>
      </c>
      <c r="J5">
        <v>8.65</v>
      </c>
      <c r="K5">
        <v>25.700000000000006</v>
      </c>
    </row>
    <row r="6" spans="1:11" x14ac:dyDescent="0.25">
      <c r="A6">
        <v>0.4</v>
      </c>
      <c r="B6">
        <v>2.8</v>
      </c>
      <c r="C6">
        <v>0.9</v>
      </c>
      <c r="D6">
        <v>9.2183870967741903</v>
      </c>
      <c r="E6">
        <v>64.396774193548367</v>
      </c>
      <c r="F6">
        <v>25.590322580645157</v>
      </c>
      <c r="G6">
        <v>4.9774193548387089</v>
      </c>
      <c r="H6">
        <v>30.56774193548387</v>
      </c>
      <c r="I6">
        <v>9.2267741935483869</v>
      </c>
      <c r="J6">
        <v>2.6451612903225805</v>
      </c>
      <c r="K6">
        <v>24.925806451612889</v>
      </c>
    </row>
    <row r="7" spans="1:11" x14ac:dyDescent="0.25">
      <c r="A7">
        <v>0.4</v>
      </c>
      <c r="B7">
        <v>2.8</v>
      </c>
      <c r="C7">
        <v>0.99</v>
      </c>
      <c r="D7">
        <v>7.8682258064516128</v>
      </c>
      <c r="E7">
        <v>35.79677419354838</v>
      </c>
      <c r="F7">
        <v>37.635483870967747</v>
      </c>
      <c r="G7">
        <v>3.1500000000000004</v>
      </c>
      <c r="H7">
        <v>40.785483870967731</v>
      </c>
      <c r="I7">
        <v>10.222419354838712</v>
      </c>
      <c r="J7">
        <v>4.354838709677419</v>
      </c>
      <c r="K7">
        <v>25.232258064516149</v>
      </c>
    </row>
    <row r="8" spans="1:11" x14ac:dyDescent="0.25">
      <c r="A8">
        <v>0.4</v>
      </c>
      <c r="B8">
        <v>2.8</v>
      </c>
      <c r="C8">
        <v>1.1100000000000001</v>
      </c>
      <c r="D8">
        <v>6.6790322580645158</v>
      </c>
      <c r="E8">
        <v>26.612903225806452</v>
      </c>
      <c r="F8">
        <v>43.772580645161312</v>
      </c>
      <c r="G8">
        <v>2.7967741935483867</v>
      </c>
      <c r="H8">
        <v>46.569354838709671</v>
      </c>
      <c r="I8">
        <v>11.107741935483871</v>
      </c>
      <c r="J8">
        <v>5</v>
      </c>
      <c r="K8">
        <v>25.200000000000028</v>
      </c>
    </row>
    <row r="9" spans="1:11" x14ac:dyDescent="0.25">
      <c r="A9">
        <v>0.4</v>
      </c>
      <c r="B9">
        <v>2.8</v>
      </c>
      <c r="C9">
        <v>1.32</v>
      </c>
      <c r="D9">
        <v>3.9229032258064538</v>
      </c>
      <c r="E9">
        <v>23.750000000000004</v>
      </c>
      <c r="F9">
        <v>61.825806451612884</v>
      </c>
      <c r="G9">
        <v>2.3725806451612903</v>
      </c>
      <c r="H9">
        <v>64.198387096774212</v>
      </c>
      <c r="I9">
        <v>13.195161290322579</v>
      </c>
      <c r="J9">
        <v>7.0161290322580649</v>
      </c>
      <c r="K9">
        <v>25.733870967741932</v>
      </c>
    </row>
    <row r="10" spans="1:11" x14ac:dyDescent="0.25">
      <c r="A10">
        <v>0.4</v>
      </c>
      <c r="B10">
        <v>2.8</v>
      </c>
      <c r="C10">
        <v>1.41</v>
      </c>
      <c r="D10">
        <v>2.3223333333333334</v>
      </c>
      <c r="E10">
        <v>31.266666666666673</v>
      </c>
      <c r="F10">
        <v>68.250000000000014</v>
      </c>
      <c r="G10">
        <v>2.5566666666666666</v>
      </c>
      <c r="H10">
        <v>70.806666666666672</v>
      </c>
      <c r="I10">
        <v>14.457333333333329</v>
      </c>
      <c r="J10">
        <v>8.7666666666666675</v>
      </c>
      <c r="K10">
        <v>26</v>
      </c>
    </row>
    <row r="11" spans="1:11" x14ac:dyDescent="0.25">
      <c r="A11">
        <v>0.8</v>
      </c>
      <c r="B11">
        <v>6.5</v>
      </c>
      <c r="C11">
        <v>1.05</v>
      </c>
      <c r="D11">
        <v>8.7887096774193552</v>
      </c>
      <c r="E11">
        <v>45.019354838709681</v>
      </c>
      <c r="F11">
        <v>15.354838709677423</v>
      </c>
      <c r="G11">
        <v>2.3516129032258055</v>
      </c>
      <c r="H11">
        <v>17.706451612903223</v>
      </c>
      <c r="I11">
        <v>9.4306451612903199</v>
      </c>
      <c r="J11">
        <v>3</v>
      </c>
      <c r="K11">
        <v>25.829032258064505</v>
      </c>
    </row>
    <row r="12" spans="1:11" x14ac:dyDescent="0.25">
      <c r="A12">
        <v>0.8</v>
      </c>
      <c r="B12">
        <v>6.5</v>
      </c>
      <c r="C12">
        <v>1.1100000000000001</v>
      </c>
      <c r="D12">
        <v>8.1520967741935486</v>
      </c>
      <c r="E12">
        <v>27.801612903225802</v>
      </c>
      <c r="F12">
        <v>18.875806451612899</v>
      </c>
      <c r="G12">
        <v>1.9451612903225823</v>
      </c>
      <c r="H12">
        <v>20.820967741935483</v>
      </c>
      <c r="I12">
        <v>9.9041935483871057</v>
      </c>
      <c r="J12">
        <v>3.870967741935484</v>
      </c>
      <c r="K12">
        <v>25.959677419354854</v>
      </c>
    </row>
    <row r="13" spans="1:11" x14ac:dyDescent="0.25">
      <c r="A13">
        <v>0.8</v>
      </c>
      <c r="B13">
        <v>6.5</v>
      </c>
      <c r="C13">
        <v>1.32</v>
      </c>
      <c r="D13">
        <v>5.3248333333333342</v>
      </c>
      <c r="E13">
        <v>13.853333333333335</v>
      </c>
      <c r="F13">
        <v>30.035000000000007</v>
      </c>
      <c r="G13">
        <v>1.5616666666666665</v>
      </c>
      <c r="H13">
        <v>31.596666666666671</v>
      </c>
      <c r="I13">
        <v>11.977166666666665</v>
      </c>
      <c r="J13">
        <v>6</v>
      </c>
      <c r="K13">
        <v>26.276666666666639</v>
      </c>
    </row>
    <row r="14" spans="1:11" x14ac:dyDescent="0.25">
      <c r="A14">
        <v>0.8</v>
      </c>
      <c r="B14">
        <v>6.5</v>
      </c>
      <c r="C14">
        <v>1.5</v>
      </c>
      <c r="D14">
        <v>2.577833333333333</v>
      </c>
      <c r="E14">
        <v>18.176666666666673</v>
      </c>
      <c r="F14">
        <v>40.236666666666665</v>
      </c>
      <c r="G14">
        <v>1.6533333333333329</v>
      </c>
      <c r="H14">
        <v>41.890000000000015</v>
      </c>
      <c r="I14">
        <v>14.054833333333342</v>
      </c>
      <c r="J14">
        <v>9</v>
      </c>
      <c r="K14">
        <v>26.799999999999976</v>
      </c>
    </row>
    <row r="15" spans="1:11" x14ac:dyDescent="0.25">
      <c r="A15">
        <v>1.2</v>
      </c>
      <c r="B15">
        <v>9.8000000000000007</v>
      </c>
      <c r="C15">
        <v>1.26</v>
      </c>
      <c r="D15">
        <v>8.2909677419354857</v>
      </c>
      <c r="E15">
        <v>37.896774193548396</v>
      </c>
      <c r="F15">
        <v>11.21612903225806</v>
      </c>
      <c r="G15">
        <v>1.4903225806451614</v>
      </c>
      <c r="H15">
        <v>12.706451612903225</v>
      </c>
      <c r="I15">
        <v>9.8512903225806472</v>
      </c>
      <c r="J15">
        <v>5</v>
      </c>
      <c r="K15">
        <v>27.458064516129028</v>
      </c>
    </row>
    <row r="16" spans="1:11" x14ac:dyDescent="0.25">
      <c r="A16">
        <v>1.2</v>
      </c>
      <c r="B16">
        <v>9.8000000000000007</v>
      </c>
      <c r="C16">
        <v>1.32</v>
      </c>
      <c r="D16">
        <v>7.6373333333333351</v>
      </c>
      <c r="E16">
        <v>13.013333333333334</v>
      </c>
      <c r="F16">
        <v>13.183333333333335</v>
      </c>
      <c r="G16">
        <v>1.1733333333333331</v>
      </c>
      <c r="H16">
        <v>14.356666666666664</v>
      </c>
      <c r="I16">
        <v>10.33566666666667</v>
      </c>
      <c r="J16">
        <v>6</v>
      </c>
      <c r="K16">
        <v>27.593333333333348</v>
      </c>
    </row>
    <row r="17" spans="1:11" x14ac:dyDescent="0.25">
      <c r="A17">
        <v>1.2</v>
      </c>
      <c r="B17">
        <v>9.8000000000000007</v>
      </c>
      <c r="C17">
        <v>1.41</v>
      </c>
      <c r="D17">
        <v>6.6422580645161311</v>
      </c>
      <c r="E17">
        <v>9.5177419354838673</v>
      </c>
      <c r="F17">
        <v>16.091935483870966</v>
      </c>
      <c r="G17">
        <v>1.2709677419354841</v>
      </c>
      <c r="H17">
        <v>17.362903225806452</v>
      </c>
      <c r="I17">
        <v>11.059677419354831</v>
      </c>
      <c r="J17">
        <v>6</v>
      </c>
      <c r="K17">
        <v>27.741935483870964</v>
      </c>
    </row>
    <row r="18" spans="1:11" x14ac:dyDescent="0.25">
      <c r="A18">
        <v>1.2</v>
      </c>
      <c r="B18">
        <v>9.8000000000000007</v>
      </c>
      <c r="C18">
        <v>1.5</v>
      </c>
      <c r="D18">
        <v>4.9693333333333332</v>
      </c>
      <c r="E18">
        <v>12.403333333333336</v>
      </c>
      <c r="F18">
        <v>17.353333333333335</v>
      </c>
      <c r="G18">
        <v>1.7000000000000006</v>
      </c>
      <c r="H18">
        <v>19.053333333333335</v>
      </c>
      <c r="I18">
        <v>12.288333333333332</v>
      </c>
      <c r="J18">
        <v>6.0666666666666664</v>
      </c>
      <c r="K18">
        <v>27.670000000000009</v>
      </c>
    </row>
    <row r="19" spans="1:11" x14ac:dyDescent="0.25">
      <c r="A19">
        <v>1.2</v>
      </c>
      <c r="B19">
        <v>9.8000000000000007</v>
      </c>
      <c r="C19">
        <v>1.65</v>
      </c>
      <c r="D19">
        <v>2.3216129032258057</v>
      </c>
      <c r="E19">
        <v>16.887096774193548</v>
      </c>
      <c r="F19">
        <v>25.235483870967744</v>
      </c>
      <c r="G19">
        <v>1.6935483870967749</v>
      </c>
      <c r="H19">
        <v>26.929032258064513</v>
      </c>
      <c r="I19">
        <v>14.31193548387097</v>
      </c>
      <c r="J19">
        <v>9.8387096774193541</v>
      </c>
      <c r="K19">
        <v>27.638709677419367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1A21-DBCA-4818-9102-A057B1D503A8}">
  <dimension ref="A1:K14"/>
  <sheetViews>
    <sheetView workbookViewId="0">
      <selection activeCell="K14" sqref="A1:K14"/>
    </sheetView>
  </sheetViews>
  <sheetFormatPr defaultRowHeight="15" x14ac:dyDescent="0.25"/>
  <sheetData>
    <row r="1" spans="1:11" x14ac:dyDescent="0.25">
      <c r="A1" t="s">
        <v>170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25">
      <c r="A2">
        <v>0.76</v>
      </c>
      <c r="B2">
        <v>4.5999999999999996</v>
      </c>
      <c r="C2">
        <v>0.99</v>
      </c>
      <c r="D2">
        <v>8.1293548387096788</v>
      </c>
      <c r="E2">
        <v>29.503225806451599</v>
      </c>
      <c r="F2">
        <v>38.724193548387099</v>
      </c>
      <c r="G2">
        <v>2.3322580645161288</v>
      </c>
      <c r="H2">
        <v>41.056451612903203</v>
      </c>
      <c r="I2">
        <v>10.018225806451614</v>
      </c>
      <c r="J2">
        <v>5.032258064516129</v>
      </c>
      <c r="K2">
        <v>24.037096774193532</v>
      </c>
    </row>
    <row r="3" spans="1:11" x14ac:dyDescent="0.25">
      <c r="A3">
        <v>0.76</v>
      </c>
      <c r="B3">
        <v>4.5999999999999996</v>
      </c>
      <c r="C3">
        <v>1.1100000000000001</v>
      </c>
      <c r="D3">
        <v>7.260937499999998</v>
      </c>
      <c r="E3">
        <v>23.759375000000002</v>
      </c>
      <c r="F3">
        <v>46.531249999999993</v>
      </c>
      <c r="G3">
        <v>2.5375000000000005</v>
      </c>
      <c r="H3">
        <v>49.068750000000001</v>
      </c>
      <c r="I3">
        <v>10.687187499999997</v>
      </c>
      <c r="J3">
        <v>4.625</v>
      </c>
      <c r="K3">
        <v>23.646875000000016</v>
      </c>
    </row>
    <row r="4" spans="1:11" x14ac:dyDescent="0.25">
      <c r="A4">
        <v>0.76</v>
      </c>
      <c r="B4">
        <v>4.5999999999999996</v>
      </c>
      <c r="C4">
        <v>1.32</v>
      </c>
      <c r="D4">
        <v>4.6235000000000008</v>
      </c>
      <c r="E4">
        <v>25.21333333333332</v>
      </c>
      <c r="F4">
        <v>65.908333333333331</v>
      </c>
      <c r="G4">
        <v>2.4533333333333358</v>
      </c>
      <c r="H4">
        <v>68.361666666666679</v>
      </c>
      <c r="I4">
        <v>12.679000000000004</v>
      </c>
      <c r="J4">
        <v>6.4666666666666668</v>
      </c>
      <c r="K4">
        <v>24.180000000000007</v>
      </c>
    </row>
    <row r="5" spans="1:11" x14ac:dyDescent="0.25">
      <c r="A5">
        <v>0.76</v>
      </c>
      <c r="B5">
        <v>4.5999999999999996</v>
      </c>
      <c r="C5">
        <v>1.44</v>
      </c>
      <c r="D5">
        <v>2.7678125000000002</v>
      </c>
      <c r="E5">
        <v>31.578125000000007</v>
      </c>
      <c r="F5">
        <v>76.412500000000009</v>
      </c>
      <c r="G5">
        <v>2.4718750000000003</v>
      </c>
      <c r="H5">
        <v>78.884374999999991</v>
      </c>
      <c r="I5">
        <v>14.117500000000001</v>
      </c>
      <c r="J5">
        <v>8.59375</v>
      </c>
      <c r="K5">
        <v>24.665625000000013</v>
      </c>
    </row>
    <row r="6" spans="1:11" x14ac:dyDescent="0.25">
      <c r="A6">
        <v>0.51</v>
      </c>
      <c r="B6">
        <v>2.8</v>
      </c>
      <c r="C6">
        <v>0.9</v>
      </c>
      <c r="D6">
        <v>9.2822580645161263</v>
      </c>
      <c r="E6">
        <v>41.319354838709678</v>
      </c>
      <c r="F6">
        <v>44.487096774193539</v>
      </c>
      <c r="G6">
        <v>3.3967741935483868</v>
      </c>
      <c r="H6">
        <v>47.883870967741935</v>
      </c>
      <c r="I6">
        <v>9.1735483870967744</v>
      </c>
      <c r="J6">
        <v>3.3870967741935485</v>
      </c>
      <c r="K6">
        <v>23.732258064516142</v>
      </c>
    </row>
    <row r="7" spans="1:11" x14ac:dyDescent="0.25">
      <c r="A7">
        <v>0.51</v>
      </c>
      <c r="B7">
        <v>2.8</v>
      </c>
      <c r="C7">
        <v>0.99</v>
      </c>
      <c r="D7">
        <v>7.9383870967741927</v>
      </c>
      <c r="E7">
        <v>28.522580645161302</v>
      </c>
      <c r="F7">
        <v>57.409677419354836</v>
      </c>
      <c r="G7">
        <v>2.4290322580645158</v>
      </c>
      <c r="H7">
        <v>59.838709677419345</v>
      </c>
      <c r="I7">
        <v>10.162903225806447</v>
      </c>
      <c r="J7">
        <v>4.935483870967742</v>
      </c>
      <c r="K7">
        <v>24.006451612903227</v>
      </c>
    </row>
    <row r="8" spans="1:11" x14ac:dyDescent="0.25">
      <c r="A8">
        <v>0.51</v>
      </c>
      <c r="B8">
        <v>2.8</v>
      </c>
      <c r="C8">
        <v>1.1100000000000001</v>
      </c>
      <c r="D8">
        <v>6.5822580645161297</v>
      </c>
      <c r="E8">
        <v>25.525806451612901</v>
      </c>
      <c r="F8">
        <v>70.761290322580649</v>
      </c>
      <c r="G8">
        <v>2.335483870967741</v>
      </c>
      <c r="H8">
        <v>73.096774193548399</v>
      </c>
      <c r="I8">
        <v>11.200645161290325</v>
      </c>
      <c r="J8">
        <v>5</v>
      </c>
      <c r="K8">
        <v>24.090322580645175</v>
      </c>
    </row>
    <row r="9" spans="1:11" x14ac:dyDescent="0.25">
      <c r="A9">
        <v>0.51</v>
      </c>
      <c r="B9">
        <v>2.8</v>
      </c>
      <c r="C9">
        <v>1.32</v>
      </c>
      <c r="D9">
        <v>3.9367741935483864</v>
      </c>
      <c r="E9">
        <v>30.548387096774192</v>
      </c>
      <c r="F9">
        <v>91.970967741935496</v>
      </c>
      <c r="G9">
        <v>2.4967741935483874</v>
      </c>
      <c r="H9">
        <v>94.467741935483872</v>
      </c>
      <c r="I9">
        <v>13.198064516129023</v>
      </c>
      <c r="J9">
        <v>6.580645161290323</v>
      </c>
      <c r="K9">
        <v>24.570967741935497</v>
      </c>
    </row>
    <row r="10" spans="1:11" x14ac:dyDescent="0.25">
      <c r="A10">
        <v>0.51</v>
      </c>
      <c r="B10">
        <v>2.8</v>
      </c>
      <c r="C10">
        <v>1.41</v>
      </c>
      <c r="D10">
        <v>2.7770967741935486</v>
      </c>
      <c r="E10">
        <v>37.454838709677418</v>
      </c>
      <c r="F10">
        <v>99.206451612903223</v>
      </c>
      <c r="G10">
        <v>2.6451612903225814</v>
      </c>
      <c r="H10">
        <v>101.85161290322583</v>
      </c>
      <c r="I10">
        <v>14.095483870967735</v>
      </c>
      <c r="J10">
        <v>8.5483870967741939</v>
      </c>
      <c r="K10">
        <v>24.906451612903215</v>
      </c>
    </row>
    <row r="11" spans="1:11" x14ac:dyDescent="0.25">
      <c r="A11">
        <v>1.03</v>
      </c>
      <c r="B11">
        <v>6.7</v>
      </c>
      <c r="C11">
        <v>1.05</v>
      </c>
      <c r="D11">
        <v>9.0374193548387112</v>
      </c>
      <c r="E11">
        <v>55.538709677419355</v>
      </c>
      <c r="F11">
        <v>30.370967741935484</v>
      </c>
      <c r="G11">
        <v>3.1677419354838707</v>
      </c>
      <c r="H11">
        <v>33.538709677419355</v>
      </c>
      <c r="I11">
        <v>9.3616129032258097</v>
      </c>
      <c r="J11">
        <v>3.7096774193548385</v>
      </c>
      <c r="K11">
        <v>24.138709677419357</v>
      </c>
    </row>
    <row r="12" spans="1:11" x14ac:dyDescent="0.25">
      <c r="A12">
        <v>1.03</v>
      </c>
      <c r="B12">
        <v>6.7</v>
      </c>
      <c r="C12">
        <v>1.1100000000000001</v>
      </c>
      <c r="D12">
        <v>8.3483870967741947</v>
      </c>
      <c r="E12">
        <v>31.541935483870969</v>
      </c>
      <c r="F12">
        <v>36.556451612903231</v>
      </c>
      <c r="G12">
        <v>2.1483870967741927</v>
      </c>
      <c r="H12">
        <v>38.704838709677418</v>
      </c>
      <c r="I12">
        <v>9.8617741935483885</v>
      </c>
      <c r="J12">
        <v>4.935483870967742</v>
      </c>
      <c r="K12">
        <v>24.196774193548414</v>
      </c>
    </row>
    <row r="13" spans="1:11" x14ac:dyDescent="0.25">
      <c r="A13">
        <v>1.03</v>
      </c>
      <c r="B13">
        <v>6.7</v>
      </c>
      <c r="C13">
        <v>1.32</v>
      </c>
      <c r="D13">
        <v>5.8606451612903223</v>
      </c>
      <c r="E13">
        <v>18.558064516129026</v>
      </c>
      <c r="F13">
        <v>49.125806451612917</v>
      </c>
      <c r="G13">
        <v>1.7838709677419355</v>
      </c>
      <c r="H13">
        <v>50.909677419354836</v>
      </c>
      <c r="I13">
        <v>11.736774193548392</v>
      </c>
      <c r="J13">
        <v>6.354838709677419</v>
      </c>
      <c r="K13">
        <v>24.55161290322582</v>
      </c>
    </row>
    <row r="14" spans="1:11" x14ac:dyDescent="0.25">
      <c r="A14">
        <v>1.03</v>
      </c>
      <c r="B14">
        <v>6.7</v>
      </c>
      <c r="C14">
        <v>1.5</v>
      </c>
      <c r="D14">
        <v>3.2856666666666667</v>
      </c>
      <c r="E14">
        <v>22.606666666666673</v>
      </c>
      <c r="F14">
        <v>61.883333333333333</v>
      </c>
      <c r="G14">
        <v>1.9133333333333324</v>
      </c>
      <c r="H14">
        <v>63.796666666666653</v>
      </c>
      <c r="I14">
        <v>13.701333333333338</v>
      </c>
      <c r="J14">
        <v>8.6666666666666661</v>
      </c>
      <c r="K14">
        <v>25.146666666666686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2F66-2458-4B4F-AC55-91BCE1631FCF}">
  <dimension ref="A1:K44"/>
  <sheetViews>
    <sheetView tabSelected="1" workbookViewId="0">
      <selection activeCell="N23" sqref="N23"/>
    </sheetView>
  </sheetViews>
  <sheetFormatPr defaultRowHeight="15" x14ac:dyDescent="0.25"/>
  <cols>
    <col min="2" max="2" width="12.28515625" customWidth="1"/>
  </cols>
  <sheetData>
    <row r="1" spans="1:11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25">
      <c r="A2">
        <v>0.40514261884903907</v>
      </c>
      <c r="B2">
        <v>4.513165822587645</v>
      </c>
      <c r="C2">
        <v>0.83</v>
      </c>
      <c r="D2">
        <v>6.5047478991596615</v>
      </c>
      <c r="E2">
        <v>70.262605042016801</v>
      </c>
      <c r="F2">
        <v>81.680672268907514</v>
      </c>
      <c r="G2">
        <v>15.530252100840341</v>
      </c>
      <c r="H2">
        <v>97.2109243697479</v>
      </c>
      <c r="I2">
        <v>10.356218487394951</v>
      </c>
      <c r="J2">
        <v>93.142857142857139</v>
      </c>
      <c r="K2">
        <v>25.570168067226891</v>
      </c>
    </row>
    <row r="3" spans="1:11" x14ac:dyDescent="0.25">
      <c r="A3">
        <v>0.5317180984153469</v>
      </c>
      <c r="B3">
        <v>5.9977180949333242</v>
      </c>
      <c r="C3">
        <v>0.96837197664720798</v>
      </c>
      <c r="D3">
        <v>4.7627857142857151</v>
      </c>
      <c r="E3">
        <v>21.014285714285723</v>
      </c>
      <c r="F3">
        <v>87.228214285714159</v>
      </c>
      <c r="G3">
        <v>7.8653571428571372</v>
      </c>
      <c r="H3">
        <v>95.093571428571437</v>
      </c>
      <c r="I3">
        <v>11.992392857142866</v>
      </c>
      <c r="J3">
        <v>116.06428571428572</v>
      </c>
      <c r="K3">
        <v>26.646785714285723</v>
      </c>
    </row>
    <row r="4" spans="1:11" x14ac:dyDescent="0.25">
      <c r="A4">
        <v>0.59806839032526504</v>
      </c>
      <c r="B4">
        <v>6.418827587016664</v>
      </c>
      <c r="C4">
        <v>1.1694495412843795</v>
      </c>
      <c r="D4">
        <v>2.2661461794019964</v>
      </c>
      <c r="E4">
        <v>34.548307692307674</v>
      </c>
      <c r="F4">
        <v>91.678737541528278</v>
      </c>
      <c r="G4">
        <v>8.1803986710963414</v>
      </c>
      <c r="H4">
        <v>99.859136212624549</v>
      </c>
      <c r="I4">
        <v>13.651295681063138</v>
      </c>
      <c r="J4">
        <v>130.78737541528238</v>
      </c>
      <c r="K4">
        <v>27.701993355481772</v>
      </c>
    </row>
    <row r="5" spans="1:11" x14ac:dyDescent="0.25">
      <c r="A5">
        <v>0.7887723102585491</v>
      </c>
      <c r="B5">
        <v>8.3784302672499891</v>
      </c>
      <c r="C5">
        <v>1.5753628023352757</v>
      </c>
      <c r="D5" t="e">
        <v>#DIV/0!</v>
      </c>
      <c r="E5">
        <v>1000</v>
      </c>
      <c r="F5" t="e">
        <v>#DIV/0!</v>
      </c>
      <c r="G5" t="e">
        <v>#DIV/0!</v>
      </c>
      <c r="H5" t="e">
        <v>#DIV/0!</v>
      </c>
      <c r="I5" t="e">
        <v>#DIV/0!</v>
      </c>
      <c r="J5" t="e">
        <v>#DIV/0!</v>
      </c>
      <c r="K5">
        <v>27.701993355481772</v>
      </c>
    </row>
    <row r="6" spans="1:11" x14ac:dyDescent="0.25">
      <c r="A6">
        <v>0.49526271893243745</v>
      </c>
      <c r="B6">
        <v>5.3141702644333373</v>
      </c>
      <c r="C6">
        <v>0.82313594662217882</v>
      </c>
      <c r="D6">
        <v>7.1973684210526301</v>
      </c>
      <c r="E6">
        <v>181.54070175438611</v>
      </c>
      <c r="F6">
        <v>80.686315789473724</v>
      </c>
      <c r="G6">
        <v>28.017894736842109</v>
      </c>
      <c r="H6">
        <v>108.70421052631586</v>
      </c>
      <c r="I6">
        <v>10.177929824561422</v>
      </c>
      <c r="J6">
        <v>81.803508771929828</v>
      </c>
      <c r="K6">
        <v>26.619649122807061</v>
      </c>
    </row>
    <row r="7" spans="1:11" x14ac:dyDescent="0.25">
      <c r="A7">
        <v>0.59794829024186602</v>
      </c>
      <c r="B7">
        <v>6.6398740833666681</v>
      </c>
      <c r="C7">
        <v>1.0115029190992637</v>
      </c>
      <c r="D7">
        <v>4.0482068965517239</v>
      </c>
      <c r="E7">
        <v>33.744137931034473</v>
      </c>
      <c r="F7">
        <v>83.645862068965144</v>
      </c>
      <c r="G7">
        <v>10.274137931034501</v>
      </c>
      <c r="H7">
        <v>93.920000000000016</v>
      </c>
      <c r="I7">
        <v>12.565413793103437</v>
      </c>
      <c r="J7">
        <v>113.81724137931035</v>
      </c>
      <c r="K7">
        <v>27.329655172413808</v>
      </c>
    </row>
    <row r="8" spans="1:11" x14ac:dyDescent="0.25">
      <c r="A8">
        <v>0.7047522935779692</v>
      </c>
      <c r="B8">
        <v>7.9890226950666667</v>
      </c>
      <c r="C8">
        <v>1.1418165137614562</v>
      </c>
      <c r="D8">
        <v>1.7550498338870428</v>
      </c>
      <c r="E8">
        <v>15.676880222841231</v>
      </c>
      <c r="F8">
        <v>46.337209302325611</v>
      </c>
      <c r="G8">
        <v>4.9049833887043084</v>
      </c>
      <c r="H8">
        <v>51.2421926910298</v>
      </c>
      <c r="I8">
        <v>14.295315614617948</v>
      </c>
      <c r="J8">
        <v>131.98006644518273</v>
      </c>
      <c r="K8">
        <v>27.790365448505</v>
      </c>
    </row>
    <row r="9" spans="1:11" x14ac:dyDescent="0.25">
      <c r="A9">
        <v>0.80219999999999692</v>
      </c>
      <c r="B9">
        <v>9.1039840740999978</v>
      </c>
      <c r="C9">
        <v>1.3459000000000032</v>
      </c>
      <c r="D9" t="e">
        <v>#DIV/0!</v>
      </c>
      <c r="E9">
        <v>1000</v>
      </c>
      <c r="F9" t="e">
        <v>#DIV/0!</v>
      </c>
      <c r="G9" t="e">
        <v>#DIV/0!</v>
      </c>
      <c r="H9" t="e">
        <v>#DIV/0!</v>
      </c>
      <c r="I9">
        <v>15</v>
      </c>
      <c r="J9" t="e">
        <v>#DIV/0!</v>
      </c>
      <c r="K9">
        <v>27.790365448505</v>
      </c>
    </row>
    <row r="10" spans="1:11" x14ac:dyDescent="0.25">
      <c r="A10">
        <v>0.2</v>
      </c>
      <c r="C10">
        <v>0.5</v>
      </c>
      <c r="E10">
        <v>76.3</v>
      </c>
      <c r="I10">
        <v>7.76</v>
      </c>
    </row>
    <row r="11" spans="1:11" x14ac:dyDescent="0.25">
      <c r="A11">
        <v>0.2</v>
      </c>
      <c r="C11">
        <v>0.45</v>
      </c>
      <c r="E11">
        <v>500</v>
      </c>
      <c r="I11">
        <v>7</v>
      </c>
    </row>
    <row r="12" spans="1:11" x14ac:dyDescent="0.25">
      <c r="A12">
        <v>0.2</v>
      </c>
      <c r="C12">
        <v>0.6</v>
      </c>
      <c r="E12">
        <v>11.1</v>
      </c>
      <c r="I12">
        <v>9.8800000000000008</v>
      </c>
    </row>
    <row r="13" spans="1:11" x14ac:dyDescent="0.25">
      <c r="A13">
        <v>0.2</v>
      </c>
      <c r="C13">
        <v>0.8</v>
      </c>
      <c r="E13">
        <v>7.5</v>
      </c>
      <c r="I13">
        <v>13.05</v>
      </c>
    </row>
    <row r="14" spans="1:11" x14ac:dyDescent="0.25">
      <c r="A14">
        <v>0.2</v>
      </c>
      <c r="C14">
        <v>0.8</v>
      </c>
      <c r="E14">
        <v>9</v>
      </c>
      <c r="I14">
        <v>12.59</v>
      </c>
    </row>
    <row r="15" spans="1:11" x14ac:dyDescent="0.25">
      <c r="A15">
        <v>0.2</v>
      </c>
      <c r="C15">
        <v>0.95</v>
      </c>
      <c r="E15">
        <v>500</v>
      </c>
      <c r="I15">
        <v>15</v>
      </c>
    </row>
    <row r="16" spans="1:11" x14ac:dyDescent="0.25">
      <c r="A16">
        <v>0.2</v>
      </c>
      <c r="C16">
        <v>1</v>
      </c>
      <c r="E16">
        <v>500</v>
      </c>
      <c r="I16">
        <v>15</v>
      </c>
    </row>
    <row r="17" spans="1:9" x14ac:dyDescent="0.25">
      <c r="A17">
        <v>0.4</v>
      </c>
      <c r="C17">
        <v>0.65</v>
      </c>
      <c r="E17">
        <v>500</v>
      </c>
      <c r="I17">
        <v>9</v>
      </c>
    </row>
    <row r="18" spans="1:9" x14ac:dyDescent="0.25">
      <c r="A18">
        <v>0.4</v>
      </c>
      <c r="C18">
        <v>0.7</v>
      </c>
      <c r="E18">
        <v>230.3</v>
      </c>
      <c r="I18">
        <v>9.41</v>
      </c>
    </row>
    <row r="19" spans="1:9" x14ac:dyDescent="0.25">
      <c r="A19">
        <v>0.4</v>
      </c>
      <c r="C19">
        <v>0.8</v>
      </c>
      <c r="E19">
        <v>138.4</v>
      </c>
      <c r="I19">
        <v>9.6300000000000008</v>
      </c>
    </row>
    <row r="20" spans="1:9" x14ac:dyDescent="0.25">
      <c r="A20">
        <v>0.4</v>
      </c>
      <c r="C20">
        <v>1</v>
      </c>
      <c r="E20">
        <v>15.7</v>
      </c>
      <c r="I20">
        <v>12.96</v>
      </c>
    </row>
    <row r="21" spans="1:9" x14ac:dyDescent="0.25">
      <c r="A21">
        <v>0.4</v>
      </c>
      <c r="C21">
        <v>1.2</v>
      </c>
      <c r="E21">
        <v>500</v>
      </c>
      <c r="I21">
        <v>15</v>
      </c>
    </row>
    <row r="22" spans="1:9" x14ac:dyDescent="0.25">
      <c r="A22">
        <v>0.4</v>
      </c>
      <c r="C22">
        <v>1.2</v>
      </c>
      <c r="E22">
        <v>500</v>
      </c>
      <c r="I22">
        <v>15</v>
      </c>
    </row>
    <row r="23" spans="1:9" x14ac:dyDescent="0.25">
      <c r="A23">
        <v>0.6</v>
      </c>
      <c r="C23">
        <v>0.75</v>
      </c>
      <c r="E23">
        <v>500</v>
      </c>
      <c r="I23">
        <v>10</v>
      </c>
    </row>
    <row r="24" spans="1:9" x14ac:dyDescent="0.25">
      <c r="A24">
        <v>0.6</v>
      </c>
      <c r="C24">
        <v>0.8</v>
      </c>
      <c r="E24">
        <v>250.8</v>
      </c>
      <c r="I24">
        <v>11.46</v>
      </c>
    </row>
    <row r="25" spans="1:9" x14ac:dyDescent="0.25">
      <c r="A25">
        <v>0.6</v>
      </c>
      <c r="C25">
        <v>1</v>
      </c>
      <c r="E25">
        <v>52.8</v>
      </c>
      <c r="I25">
        <v>12.46</v>
      </c>
    </row>
    <row r="26" spans="1:9" x14ac:dyDescent="0.25">
      <c r="A26">
        <v>0.6</v>
      </c>
      <c r="C26">
        <v>1.2</v>
      </c>
      <c r="E26">
        <v>34</v>
      </c>
      <c r="I26">
        <v>14.02</v>
      </c>
    </row>
    <row r="27" spans="1:9" x14ac:dyDescent="0.25">
      <c r="A27">
        <v>0.6</v>
      </c>
      <c r="C27">
        <v>1.35</v>
      </c>
      <c r="E27">
        <v>500</v>
      </c>
      <c r="I27">
        <v>15</v>
      </c>
    </row>
    <row r="28" spans="1:9" x14ac:dyDescent="0.25">
      <c r="A28">
        <v>0.6</v>
      </c>
      <c r="C28">
        <v>1.4</v>
      </c>
      <c r="E28">
        <v>500</v>
      </c>
      <c r="I28">
        <v>15</v>
      </c>
    </row>
    <row r="29" spans="1:9" x14ac:dyDescent="0.25">
      <c r="A29">
        <v>0.8</v>
      </c>
      <c r="C29">
        <v>0.95</v>
      </c>
      <c r="E29">
        <v>500</v>
      </c>
      <c r="I29">
        <v>10</v>
      </c>
    </row>
    <row r="30" spans="1:9" x14ac:dyDescent="0.25">
      <c r="A30">
        <v>0.8</v>
      </c>
      <c r="C30">
        <v>1.2</v>
      </c>
      <c r="E30">
        <v>9.6999999999999993</v>
      </c>
      <c r="I30">
        <v>11.77</v>
      </c>
    </row>
    <row r="31" spans="1:9" x14ac:dyDescent="0.25">
      <c r="A31">
        <v>0.8</v>
      </c>
      <c r="C31">
        <v>1.4</v>
      </c>
      <c r="E31">
        <v>500</v>
      </c>
      <c r="I31">
        <v>14.44</v>
      </c>
    </row>
    <row r="32" spans="1:9" x14ac:dyDescent="0.25">
      <c r="A32">
        <v>0.8</v>
      </c>
      <c r="C32">
        <v>1.5</v>
      </c>
      <c r="E32">
        <v>500</v>
      </c>
      <c r="I32">
        <v>15</v>
      </c>
    </row>
    <row r="33" spans="1:9" x14ac:dyDescent="0.25">
      <c r="A33">
        <v>0.8</v>
      </c>
      <c r="C33">
        <v>1.6</v>
      </c>
      <c r="E33">
        <v>500</v>
      </c>
      <c r="I33">
        <v>15</v>
      </c>
    </row>
    <row r="34" spans="1:9" x14ac:dyDescent="0.25">
      <c r="A34">
        <v>1</v>
      </c>
      <c r="C34">
        <v>1.1499999999999999</v>
      </c>
      <c r="E34">
        <v>500</v>
      </c>
      <c r="I34">
        <v>8</v>
      </c>
    </row>
    <row r="35" spans="1:9" x14ac:dyDescent="0.25">
      <c r="A35">
        <v>1</v>
      </c>
      <c r="C35">
        <v>1.4</v>
      </c>
      <c r="E35">
        <v>49</v>
      </c>
      <c r="I35">
        <v>15</v>
      </c>
    </row>
    <row r="36" spans="1:9" x14ac:dyDescent="0.25">
      <c r="A36">
        <v>1</v>
      </c>
      <c r="C36">
        <v>1.6</v>
      </c>
      <c r="E36">
        <v>500</v>
      </c>
      <c r="I36">
        <v>15</v>
      </c>
    </row>
    <row r="37" spans="1:9" x14ac:dyDescent="0.25">
      <c r="A37">
        <v>1</v>
      </c>
      <c r="C37">
        <v>1.6</v>
      </c>
      <c r="E37">
        <v>500</v>
      </c>
      <c r="I37">
        <v>15</v>
      </c>
    </row>
    <row r="38" spans="1:9" x14ac:dyDescent="0.25">
      <c r="A38">
        <v>1.2</v>
      </c>
      <c r="C38">
        <v>1.35</v>
      </c>
      <c r="E38">
        <v>500</v>
      </c>
      <c r="I38">
        <v>9</v>
      </c>
    </row>
    <row r="39" spans="1:9" x14ac:dyDescent="0.25">
      <c r="A39">
        <v>1.2</v>
      </c>
      <c r="C39">
        <v>1.6</v>
      </c>
      <c r="E39">
        <v>17.399999999999999</v>
      </c>
      <c r="I39">
        <v>14.81</v>
      </c>
    </row>
    <row r="40" spans="1:9" x14ac:dyDescent="0.25">
      <c r="A40">
        <v>1.2</v>
      </c>
      <c r="C40">
        <v>1.7</v>
      </c>
      <c r="E40">
        <v>500</v>
      </c>
      <c r="I40">
        <v>15</v>
      </c>
    </row>
    <row r="41" spans="1:9" x14ac:dyDescent="0.25">
      <c r="A41">
        <v>1.2</v>
      </c>
      <c r="C41">
        <v>1.8</v>
      </c>
      <c r="E41">
        <v>500</v>
      </c>
      <c r="I41">
        <v>15</v>
      </c>
    </row>
    <row r="42" spans="1:9" x14ac:dyDescent="0.25">
      <c r="A42">
        <v>1.4</v>
      </c>
      <c r="C42">
        <v>1.55</v>
      </c>
      <c r="E42">
        <v>500</v>
      </c>
      <c r="I42">
        <v>15</v>
      </c>
    </row>
    <row r="43" spans="1:9" x14ac:dyDescent="0.25">
      <c r="A43">
        <v>1.4</v>
      </c>
      <c r="C43">
        <v>1.8</v>
      </c>
      <c r="E43">
        <v>500</v>
      </c>
      <c r="I43">
        <v>15</v>
      </c>
    </row>
    <row r="44" spans="1:9" x14ac:dyDescent="0.25">
      <c r="A44">
        <v>1.4</v>
      </c>
      <c r="C44">
        <v>1.8</v>
      </c>
      <c r="E44">
        <v>500</v>
      </c>
      <c r="I4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дт_воздух</vt:lpstr>
      <vt:lpstr>дт_пар</vt:lpstr>
      <vt:lpstr>нефть_пар</vt:lpstr>
      <vt:lpstr>мазут_пар</vt:lpstr>
      <vt:lpstr>Мазут_пар_2</vt:lpstr>
      <vt:lpstr>мазут_воздух</vt:lpstr>
      <vt:lpstr>Керосин_пар</vt:lpstr>
      <vt:lpstr>Каросин_воздух</vt:lpstr>
      <vt:lpstr>Масло_пар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K</dc:creator>
  <cp:lastModifiedBy>Evgeny K</cp:lastModifiedBy>
  <dcterms:created xsi:type="dcterms:W3CDTF">2023-02-09T05:54:53Z</dcterms:created>
  <dcterms:modified xsi:type="dcterms:W3CDTF">2023-11-29T04:56:49Z</dcterms:modified>
</cp:coreProperties>
</file>